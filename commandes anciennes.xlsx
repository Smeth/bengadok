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STER\Downloads\"/>
    </mc:Choice>
  </mc:AlternateContent>
  <xr:revisionPtr revIDLastSave="0" documentId="13_ncr:1_{5F5FD29C-9791-4CD2-B120-C1AB0D6C8A2F}" xr6:coauthVersionLast="47" xr6:coauthVersionMax="47" xr10:uidLastSave="{00000000-0000-0000-0000-000000000000}"/>
  <bookViews>
    <workbookView xWindow="-108" yWindow="-108" windowWidth="23256" windowHeight="12456" xr2:uid="{30454874-2B06-441A-B5F9-51D07FD19D48}"/>
  </bookViews>
  <sheets>
    <sheet name="Comman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35" i="1" l="1"/>
  <c r="Q134" i="1"/>
  <c r="Q133" i="1"/>
  <c r="Q132" i="1"/>
  <c r="Q131" i="1"/>
  <c r="Q130" i="1"/>
  <c r="Q129" i="1"/>
  <c r="Q128" i="1"/>
  <c r="Q127" i="1"/>
  <c r="Q126" i="1"/>
  <c r="Q125" i="1"/>
  <c r="Q124" i="1"/>
  <c r="S124" i="1" s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S107" i="1" s="1"/>
  <c r="Q106" i="1"/>
  <c r="Q105" i="1"/>
  <c r="S105" i="1" s="1"/>
  <c r="S104" i="1"/>
  <c r="Q104" i="1"/>
  <c r="S103" i="1"/>
  <c r="Q103" i="1"/>
  <c r="Q102" i="1"/>
  <c r="Q101" i="1"/>
  <c r="Q100" i="1"/>
  <c r="Q99" i="1"/>
  <c r="Q98" i="1"/>
  <c r="S98" i="1" s="1"/>
  <c r="Q97" i="1"/>
  <c r="Q96" i="1"/>
  <c r="Q95" i="1"/>
  <c r="Q94" i="1"/>
  <c r="Q93" i="1"/>
  <c r="S93" i="1" s="1"/>
  <c r="Q92" i="1"/>
  <c r="Q91" i="1"/>
  <c r="Q90" i="1"/>
  <c r="Q89" i="1"/>
  <c r="Q88" i="1"/>
  <c r="S88" i="1" s="1"/>
  <c r="Q87" i="1"/>
  <c r="Q86" i="1"/>
  <c r="S86" i="1" s="1"/>
  <c r="Q85" i="1"/>
  <c r="Q84" i="1"/>
  <c r="Q83" i="1"/>
  <c r="Q82" i="1"/>
  <c r="Q81" i="1"/>
  <c r="Q80" i="1"/>
  <c r="Q79" i="1"/>
  <c r="Q78" i="1"/>
  <c r="Q77" i="1"/>
  <c r="Q75" i="1"/>
  <c r="Q74" i="1"/>
  <c r="Q73" i="1"/>
  <c r="S73" i="1" s="1"/>
  <c r="Q72" i="1"/>
  <c r="Q71" i="1"/>
  <c r="Q69" i="1"/>
  <c r="Q68" i="1"/>
  <c r="S68" i="1" s="1"/>
  <c r="Q67" i="1"/>
  <c r="Q66" i="1"/>
  <c r="Q65" i="1"/>
  <c r="Q64" i="1"/>
  <c r="Q63" i="1"/>
  <c r="Q61" i="1"/>
  <c r="Q60" i="1"/>
  <c r="Q59" i="1"/>
  <c r="Q58" i="1"/>
  <c r="Q56" i="1"/>
  <c r="Q55" i="1"/>
  <c r="Q54" i="1"/>
  <c r="Q53" i="1"/>
  <c r="S53" i="1" s="1"/>
  <c r="Q52" i="1"/>
  <c r="Q51" i="1"/>
  <c r="Q50" i="1"/>
  <c r="Q47" i="1"/>
  <c r="Q46" i="1"/>
  <c r="Q45" i="1"/>
  <c r="Q44" i="1"/>
  <c r="Q43" i="1"/>
  <c r="Q42" i="1"/>
  <c r="Q41" i="1"/>
  <c r="Q40" i="1"/>
  <c r="Q39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</calcChain>
</file>

<file path=xl/sharedStrings.xml><?xml version="1.0" encoding="utf-8"?>
<sst xmlns="http://schemas.openxmlformats.org/spreadsheetml/2006/main" count="1356" uniqueCount="526">
  <si>
    <t xml:space="preserve">JOURNAL DE SUIVI DES COMMANDES </t>
  </si>
  <si>
    <t xml:space="preserve"> </t>
  </si>
  <si>
    <t>N° Index</t>
  </si>
  <si>
    <t>Code Commande</t>
  </si>
  <si>
    <t>Semaine</t>
  </si>
  <si>
    <t>Date Commande</t>
  </si>
  <si>
    <t>Heure Commande</t>
  </si>
  <si>
    <t>Nom du Client</t>
  </si>
  <si>
    <t>Sexe</t>
  </si>
  <si>
    <t>Téléphone</t>
  </si>
  <si>
    <t>Adresse de Livraison</t>
  </si>
  <si>
    <t>Arrondissement / Ville</t>
  </si>
  <si>
    <t>Pharmacie(s)</t>
  </si>
  <si>
    <t>Médicaments Commandés</t>
  </si>
  <si>
    <t>Qté</t>
  </si>
  <si>
    <t>Mode de Paiement</t>
  </si>
  <si>
    <t>Montant Produits</t>
  </si>
  <si>
    <t>Frais Livraison</t>
  </si>
  <si>
    <t>Total Payé Client</t>
  </si>
  <si>
    <t>Montant Dû Théorique</t>
  </si>
  <si>
    <t xml:space="preserve">Perte </t>
  </si>
  <si>
    <t>Nom du Livreur</t>
  </si>
  <si>
    <t>Date Livraison Effective</t>
  </si>
  <si>
    <t>Délai (h)</t>
  </si>
  <si>
    <t>Statut</t>
  </si>
  <si>
    <t>CA Médicaments</t>
  </si>
  <si>
    <t>CA Parapharmacie</t>
  </si>
  <si>
    <t>Motif de la Perte</t>
  </si>
  <si>
    <t>BDK1405-001</t>
  </si>
  <si>
    <t>Semaine 1</t>
  </si>
  <si>
    <t>12:08:00</t>
  </si>
  <si>
    <t>Madame ELEBE</t>
  </si>
  <si>
    <t>F</t>
  </si>
  <si>
    <t>06 686 79 72</t>
  </si>
  <si>
    <t>Moungali, avenue Sergent Malamine</t>
  </si>
  <si>
    <t>Moungali</t>
  </si>
  <si>
    <t>Clairon</t>
  </si>
  <si>
    <t>Papofer effervescent</t>
  </si>
  <si>
    <t>Espèces</t>
  </si>
  <si>
    <t>Bil</t>
  </si>
  <si>
    <t>14/05/2025</t>
  </si>
  <si>
    <t>LIVRÉE</t>
  </si>
  <si>
    <t>BDK1605-001</t>
  </si>
  <si>
    <t>11:57:00</t>
  </si>
  <si>
    <t>Madame Jamila</t>
  </si>
  <si>
    <t>06 457 72 46</t>
  </si>
  <si>
    <t>16 rue Banziris Avenue de la Paix</t>
  </si>
  <si>
    <t>Poto-Poto</t>
  </si>
  <si>
    <t>Vander Veecken</t>
  </si>
  <si>
    <t>Vivagest</t>
  </si>
  <si>
    <t>16/05/2025</t>
  </si>
  <si>
    <t>BDK1705-002</t>
  </si>
  <si>
    <t>12:36:00</t>
  </si>
  <si>
    <t>Mr Jean-Pierre</t>
  </si>
  <si>
    <t>M</t>
  </si>
  <si>
    <t>06 579 68 68</t>
  </si>
  <si>
    <t>Soprogi Marché Massenguo</t>
  </si>
  <si>
    <t>Djiri</t>
  </si>
  <si>
    <t>Auréole</t>
  </si>
  <si>
    <t>Erector</t>
  </si>
  <si>
    <t>Noki Noki</t>
  </si>
  <si>
    <t>18/05/2025</t>
  </si>
  <si>
    <t>BDK1705-003</t>
  </si>
  <si>
    <t>17 rue Banziris Avenue de la Paix</t>
  </si>
  <si>
    <t>Emla Créme</t>
  </si>
  <si>
    <t>BDK1705-001</t>
  </si>
  <si>
    <t>13:35:00</t>
  </si>
  <si>
    <t>Mr Gaël</t>
  </si>
  <si>
    <t>06 881 17 11</t>
  </si>
  <si>
    <t>Marché Massenguo Soprogi</t>
  </si>
  <si>
    <t>Temesta 2,5mg</t>
  </si>
  <si>
    <t>BDK2905-001</t>
  </si>
  <si>
    <t>Semaine 3</t>
  </si>
  <si>
    <t>13:03:00</t>
  </si>
  <si>
    <t>Mme Dayana</t>
  </si>
  <si>
    <t>06 976 31 75</t>
  </si>
  <si>
    <t>avenue de France sur Marien Ngouabi</t>
  </si>
  <si>
    <t>Renande &amp; Maat</t>
  </si>
  <si>
    <t>Stilnox boite x2</t>
  </si>
  <si>
    <t>29/05/2025</t>
  </si>
  <si>
    <t>BDK3005-001</t>
  </si>
  <si>
    <t>10:33:00</t>
  </si>
  <si>
    <t>Réstaurant 242 Tacos street av,Nelson Mandéla</t>
  </si>
  <si>
    <t>Mobile Money</t>
  </si>
  <si>
    <t>BDK0406-001</t>
  </si>
  <si>
    <t>Semaine 4</t>
  </si>
  <si>
    <t>21:18:00</t>
  </si>
  <si>
    <t>Goudron de libérté</t>
  </si>
  <si>
    <t>Talangai</t>
  </si>
  <si>
    <t>Aldactone 50mg</t>
  </si>
  <si>
    <t>07/06/2025</t>
  </si>
  <si>
    <t>10:49:00</t>
  </si>
  <si>
    <t>rue Mfoa en face de lécole Canadienne</t>
  </si>
  <si>
    <t>04/06/2025</t>
  </si>
  <si>
    <t>BDK1206-001</t>
  </si>
  <si>
    <t>Semaine 5</t>
  </si>
  <si>
    <t>09:46:00</t>
  </si>
  <si>
    <t>12/06/2025</t>
  </si>
  <si>
    <t>BDK1306-001</t>
  </si>
  <si>
    <t>16:08:00</t>
  </si>
  <si>
    <t>06 880 17 11</t>
  </si>
  <si>
    <t>Croisement rue des martyrs, avenue marie ngoumbi</t>
  </si>
  <si>
    <t>Clipal 300mg</t>
  </si>
  <si>
    <t>13/06/2025</t>
  </si>
  <si>
    <t>BDK1906-001</t>
  </si>
  <si>
    <t>Semaine 6</t>
  </si>
  <si>
    <t>08:59:00</t>
  </si>
  <si>
    <t>Avenue Serge mala-mine rue Kimboto au goudron</t>
  </si>
  <si>
    <t>Confantrine Adulte</t>
  </si>
  <si>
    <t>19/06/2025</t>
  </si>
  <si>
    <t>BDK1906-002</t>
  </si>
  <si>
    <t>10:49:03</t>
  </si>
  <si>
    <t>Mme Amélia</t>
  </si>
  <si>
    <t>06 536 90 86</t>
  </si>
  <si>
    <t>16 rue Djouari moukounziguaka</t>
  </si>
  <si>
    <t>Bacongo</t>
  </si>
  <si>
    <t>Christ-Roi</t>
  </si>
  <si>
    <t>Indo Collyre</t>
  </si>
  <si>
    <t>BDK2606-001</t>
  </si>
  <si>
    <t>Semaine 7</t>
  </si>
  <si>
    <t>Mr Ludovic</t>
  </si>
  <si>
    <t>05 563 97 72</t>
  </si>
  <si>
    <t>Eglise Fatima juste en diagonale avec la Présidence</t>
  </si>
  <si>
    <t>Antalgex x2</t>
  </si>
  <si>
    <t>26/06/2025</t>
  </si>
  <si>
    <t>BDK3006-001</t>
  </si>
  <si>
    <t>Semaine 8</t>
  </si>
  <si>
    <t>11:28:00</t>
  </si>
  <si>
    <t>rue bakotas première avenue parcelle en face de la boutique</t>
  </si>
  <si>
    <t>Orix sirop G.Flacon</t>
  </si>
  <si>
    <t>BDK1707-001</t>
  </si>
  <si>
    <t>Semaine 10</t>
  </si>
  <si>
    <t>13:32:00</t>
  </si>
  <si>
    <t>rue bakotas première avenue</t>
  </si>
  <si>
    <t>Bet'leem</t>
  </si>
  <si>
    <t>Traitement Complexe (Temesta, Daflom, etc.)</t>
  </si>
  <si>
    <t>Mokolo Service</t>
  </si>
  <si>
    <t>17/07/2025</t>
  </si>
  <si>
    <t>BDK1008-001</t>
  </si>
  <si>
    <t>Semaine 13</t>
  </si>
  <si>
    <t>11:41:00</t>
  </si>
  <si>
    <t>05 526 33 50</t>
  </si>
  <si>
    <t>Massengo Soprogi vers l'avenue Domaine</t>
  </si>
  <si>
    <t>Sildénafyl 100mg</t>
  </si>
  <si>
    <t>10/08/2025</t>
  </si>
  <si>
    <t>BDK2608-001</t>
  </si>
  <si>
    <t>Semaine 16</t>
  </si>
  <si>
    <t>10:35:00</t>
  </si>
  <si>
    <t>26/08/2025</t>
  </si>
  <si>
    <t>BDK2808-001</t>
  </si>
  <si>
    <t>18:08:00</t>
  </si>
  <si>
    <t>06 686 79 22</t>
  </si>
  <si>
    <t>moungali sur l’avenue serge mala-mine</t>
  </si>
  <si>
    <t>Multi-médicaments (Amlo, Metaren...)</t>
  </si>
  <si>
    <t>28/08/2025</t>
  </si>
  <si>
    <t>BDK1509-001</t>
  </si>
  <si>
    <t>Semaine 19</t>
  </si>
  <si>
    <t>13:27:00</t>
  </si>
  <si>
    <t>119 rue bakoukouyas</t>
  </si>
  <si>
    <t>Cristale</t>
  </si>
  <si>
    <t>Gestarelle + Test de grossesse</t>
  </si>
  <si>
    <t>15/09/2025</t>
  </si>
  <si>
    <t>BDK2309-001</t>
  </si>
  <si>
    <t>Semaine 20</t>
  </si>
  <si>
    <t>20:26:00</t>
  </si>
  <si>
    <t>Radol</t>
  </si>
  <si>
    <t>23/09/2025</t>
  </si>
  <si>
    <t>BDK3009-001</t>
  </si>
  <si>
    <t>Semaine 21</t>
  </si>
  <si>
    <t>15:27:00</t>
  </si>
  <si>
    <t>Mme Célina</t>
  </si>
  <si>
    <t>06 815 97 35</t>
  </si>
  <si>
    <t>Mfilou la mairie</t>
  </si>
  <si>
    <t>Mfilou</t>
  </si>
  <si>
    <t>Fenugrec Sirop</t>
  </si>
  <si>
    <t>30/09/2025</t>
  </si>
  <si>
    <t>BDK0510-001</t>
  </si>
  <si>
    <t>Tchimbamba arret Vachéro</t>
  </si>
  <si>
    <t>Pointe-Noire</t>
  </si>
  <si>
    <t>Mavré</t>
  </si>
  <si>
    <t>05/10/2025</t>
  </si>
  <si>
    <t>BDK2210-001</t>
  </si>
  <si>
    <t>Semaine 24</t>
  </si>
  <si>
    <t>15:31:00</t>
  </si>
  <si>
    <t>Mme Fatou</t>
  </si>
  <si>
    <t>06 688 68 29</t>
  </si>
  <si>
    <t>Ocean du Nord Site de Dolisie</t>
  </si>
  <si>
    <t>Dolisie</t>
  </si>
  <si>
    <t>La Patience</t>
  </si>
  <si>
    <t>23/10/2025</t>
  </si>
  <si>
    <t>BDK2510-001</t>
  </si>
  <si>
    <t>12:40:00</t>
  </si>
  <si>
    <t>Mme Diana</t>
  </si>
  <si>
    <t>06 810 79 79</t>
  </si>
  <si>
    <t>Canal Olympia Poto-Poto</t>
  </si>
  <si>
    <t>Jagger</t>
  </si>
  <si>
    <t>Stilnox boitex3</t>
  </si>
  <si>
    <t>L.I Gedson</t>
  </si>
  <si>
    <t>25/10/2025</t>
  </si>
  <si>
    <t>BDK3010-001</t>
  </si>
  <si>
    <t>Semaine 25</t>
  </si>
  <si>
    <t>Mme Jenifer</t>
  </si>
  <si>
    <t>06 636 02 37</t>
  </si>
  <si>
    <t>111 rue Banza après le marché Moungali</t>
  </si>
  <si>
    <t>Aetefan Sirop Nourisson</t>
  </si>
  <si>
    <t>30/10/2025</t>
  </si>
  <si>
    <t>BDK1111-001</t>
  </si>
  <si>
    <t>Semaine 27</t>
  </si>
  <si>
    <t>Direction Congo Telecom</t>
  </si>
  <si>
    <t>ABZ boite x3 + Paluva 80mg</t>
  </si>
  <si>
    <t>11/11/2025</t>
  </si>
  <si>
    <t>BDK2111-001</t>
  </si>
  <si>
    <t>Semaine 28</t>
  </si>
  <si>
    <t>26/11/2025</t>
  </si>
  <si>
    <t>BDK2811-001</t>
  </si>
  <si>
    <t>Semaine 29</t>
  </si>
  <si>
    <t>Maison Kabalan - Leila Mall</t>
  </si>
  <si>
    <t>Stilnox boite</t>
  </si>
  <si>
    <t>28/11/2025</t>
  </si>
  <si>
    <t>BDK0712-001</t>
  </si>
  <si>
    <t>Semaine 30</t>
  </si>
  <si>
    <t>07/12/2025</t>
  </si>
  <si>
    <t>Mars - Juillet  2026</t>
  </si>
  <si>
    <t>BDK2703-001</t>
  </si>
  <si>
    <t>Madame Vertueuse</t>
  </si>
  <si>
    <t>06 620 7470</t>
  </si>
  <si>
    <t>Memoriale Pierre Savorgan de Brazza</t>
  </si>
  <si>
    <t xml:space="preserve">Minoxidil 5% </t>
  </si>
  <si>
    <t>BDK1504-001</t>
  </si>
  <si>
    <t>Congo Telecom DG Centre-ville</t>
  </si>
  <si>
    <t xml:space="preserve">Gaviscon (5200F) +  Paracétamol 1000mg (1525F) +  Terlomexin 200mg (4300F) </t>
  </si>
  <si>
    <t>BDK0705-001</t>
  </si>
  <si>
    <t>Mr Renel/ Mme Célina</t>
  </si>
  <si>
    <t>06 907 32 98</t>
  </si>
  <si>
    <t>Diata Marché Mwéti</t>
  </si>
  <si>
    <t>Makélékélé</t>
  </si>
  <si>
    <t xml:space="preserve">Polygynax (F) +  Oroken (F) </t>
  </si>
  <si>
    <t>BDK1105-001</t>
  </si>
  <si>
    <t>Madame Belvanie</t>
  </si>
  <si>
    <t>06 616 89 30</t>
  </si>
  <si>
    <t>Ministère des Finances Centre-ville</t>
  </si>
  <si>
    <t>Vivagest (10600F) + Clomid  (8000F)</t>
  </si>
  <si>
    <t>BDK1105-002</t>
  </si>
  <si>
    <t>Mr Garo</t>
  </si>
  <si>
    <t>Plateaux des 15ans Rue Bongo hôtel Sky</t>
  </si>
  <si>
    <t xml:space="preserve">Prozac 20mg </t>
  </si>
  <si>
    <t>BDK1305-001</t>
  </si>
  <si>
    <t>05 011 8997</t>
  </si>
  <si>
    <t xml:space="preserve">Prozac 20mg (2boîtes) (9100F) +  Ketocon Shampoo (2200F) </t>
  </si>
  <si>
    <t>Massengo Marché Soprogi</t>
  </si>
  <si>
    <t xml:space="preserve">Dacryoserum (3350F) +  Allercheck (7850F) + </t>
  </si>
  <si>
    <t>BDK1805-001</t>
  </si>
  <si>
    <t>Semaine 9</t>
  </si>
  <si>
    <t>Mr Xavier</t>
  </si>
  <si>
    <t>12 810 79 79</t>
  </si>
  <si>
    <t>PSP plateaux en face pharmacie pont centenaire</t>
  </si>
  <si>
    <t xml:space="preserve">Gel lubrifiant Manix (10000F) +  Gel Massage gourmand (10 800F) +  Café vitamax (2pcs) (4000F) </t>
  </si>
  <si>
    <t>BDK1805-002</t>
  </si>
  <si>
    <t xml:space="preserve">Auréole </t>
  </si>
  <si>
    <t xml:space="preserve">Prozac 20mg  (4500f)  </t>
  </si>
  <si>
    <t>Daffé</t>
  </si>
  <si>
    <t>Minoxidil 5% (8550F</t>
  </si>
  <si>
    <t>Pont Centenaire</t>
  </si>
  <si>
    <t>BDK1905-001</t>
  </si>
  <si>
    <t>Mr Bouka</t>
  </si>
  <si>
    <t>06 695 53 98</t>
  </si>
  <si>
    <t>Rue Lénine en diagonal du VuVuzela vers la Casa</t>
  </si>
  <si>
    <t>Lait hydratant Cerave (11200F)</t>
  </si>
  <si>
    <t>BDK1905-002</t>
  </si>
  <si>
    <t>Madame …</t>
  </si>
  <si>
    <t>06 620 71 03</t>
  </si>
  <si>
    <t>Rue Zanagua (Moungali)</t>
  </si>
  <si>
    <t>Sédorrhoide (2850F)</t>
  </si>
  <si>
    <t>BDK2005-001</t>
  </si>
  <si>
    <t>Madame Bondo</t>
  </si>
  <si>
    <t>06 894 07 81</t>
  </si>
  <si>
    <t>Emile Biayenda Djiri</t>
  </si>
  <si>
    <t>BDK2105-001</t>
  </si>
  <si>
    <t>Madame Rhode</t>
  </si>
  <si>
    <t>06 558 34 04  -  06 438 26 23</t>
  </si>
  <si>
    <t xml:space="preserve">Rectorat </t>
  </si>
  <si>
    <t>Lait hydratant Cerave (12550F)</t>
  </si>
  <si>
    <t>Prix de produit elevé / ajout financier</t>
  </si>
  <si>
    <t>BDK2505-001</t>
  </si>
  <si>
    <t>Madame Christine</t>
  </si>
  <si>
    <t>05 644 43 78</t>
  </si>
  <si>
    <t>Mazala 58 rue Kingoue, camp commuce</t>
  </si>
  <si>
    <t xml:space="preserve">Lincomycin (2000F)   </t>
  </si>
  <si>
    <t>BDK2605-001</t>
  </si>
  <si>
    <t xml:space="preserve">Prozac 20mg (2boîtes) (9100F) +  Hepafyt (2050F) </t>
  </si>
  <si>
    <t>BDK2705-001</t>
  </si>
  <si>
    <t>Madame Fanny</t>
  </si>
  <si>
    <t>06 466 1918</t>
  </si>
  <si>
    <t>Centre-ville, vers City Center</t>
  </si>
  <si>
    <t xml:space="preserve">Lait hydratant  (12555 F); Gel Moussant Anti Imperfections (16500F); SA crème Anti-rugosités (15500F); Gel moussant  (12700F); Cerave Vitamine C  (18800F); Cerave Hyalronic Hydrating Acid Serum (18250F); Cerave Soin Concentré Anti-Imperfections  (12150F) </t>
  </si>
  <si>
    <t>BDK2805-001</t>
  </si>
  <si>
    <t>Cité des 17, arret maison blanche</t>
  </si>
  <si>
    <t>Ketoprofdne (2225F), Melonax (3575F)</t>
  </si>
  <si>
    <t>BDK2805-002</t>
  </si>
  <si>
    <t>Mr Christ</t>
  </si>
  <si>
    <t>Perspective d'avenir, Plateaux des 15ans</t>
  </si>
  <si>
    <t xml:space="preserve">Gripex (2700F), Centrum (2200F) </t>
  </si>
  <si>
    <t>Co-Arinate Adulte (3050F)</t>
  </si>
  <si>
    <t>Mr Renel/ Mme Arcie</t>
  </si>
  <si>
    <t>rue Bangui</t>
  </si>
  <si>
    <t xml:space="preserve">Alcool 90° (1500F), Ellya intima solution (4250F), SGI (1400F),
Perfuseur (700F), Cathlon n°18/20 (1050F), Seringue 150*04 (600F), Gants stérilisés *6 (3000F) 500, Doigtiers stérilisés 100*20 (2000F), Compresses 40*40 (1300F), sparadrap (500F)
Gynospan inj, Methergin, Clan ambilical, Sonde d’aspiration
</t>
  </si>
  <si>
    <t>BDK0106-001</t>
  </si>
  <si>
    <t>Semaine 11</t>
  </si>
  <si>
    <t>Madame Bevana</t>
  </si>
  <si>
    <t>Kintele Péage</t>
  </si>
  <si>
    <t>Gel moussant Cerave</t>
  </si>
  <si>
    <t>BDK0106-002</t>
  </si>
  <si>
    <t>Madame Vero</t>
  </si>
  <si>
    <t>06 668 75 03</t>
  </si>
  <si>
    <t xml:space="preserve">1033 rue Vouvou av Loutassi </t>
  </si>
  <si>
    <t>Griseo 500mg</t>
  </si>
  <si>
    <t>BDK0106-003</t>
  </si>
  <si>
    <t>Mr Landry</t>
  </si>
  <si>
    <t>Rosel</t>
  </si>
  <si>
    <t>Meteospacemyl cp</t>
  </si>
  <si>
    <t>BDK0206-001</t>
  </si>
  <si>
    <t>Madame Sephora</t>
  </si>
  <si>
    <t>06 476 19 00</t>
  </si>
  <si>
    <t>Rue Maguenguengue avenue sergent malamine</t>
  </si>
  <si>
    <t>Uvestérol vitaminé ADEC</t>
  </si>
  <si>
    <t>BDK0606-001</t>
  </si>
  <si>
    <t>Surgan</t>
  </si>
  <si>
    <t>BDK0906-001</t>
  </si>
  <si>
    <t>Semaine 12</t>
  </si>
  <si>
    <t>Mme Marie</t>
  </si>
  <si>
    <t>06 758 1702</t>
  </si>
  <si>
    <t>149 rue mpangala, Taxaco</t>
  </si>
  <si>
    <t>Ouenzé</t>
  </si>
  <si>
    <t>Cortancil 5mg</t>
  </si>
  <si>
    <t>Perte de cout de livraison  / Livraison offerte</t>
  </si>
  <si>
    <t>Mme Brel</t>
  </si>
  <si>
    <t>06 664 40 34</t>
  </si>
  <si>
    <t>1420 av Loutassi vers Sunu Assurances</t>
  </si>
  <si>
    <t>Pro_Pharma</t>
  </si>
  <si>
    <t xml:space="preserve">Tensiometre (x2) (30000F) </t>
  </si>
  <si>
    <t xml:space="preserve"> Lait hydratant Cerave grande taille (19800F)</t>
  </si>
  <si>
    <t>Mr Roy</t>
  </si>
  <si>
    <t>06 460 69 26</t>
  </si>
  <si>
    <t xml:space="preserve">Boutique Tecno situé a Mazala a coté du PSP de Moukondo </t>
  </si>
  <si>
    <t xml:space="preserve">Glucometre </t>
  </si>
  <si>
    <t>BDK1506-001</t>
  </si>
  <si>
    <t xml:space="preserve">1033 rue VOUVOU av Loutassi </t>
  </si>
  <si>
    <t>Vivagest (10650F) + Tramagen 50  (3100F)</t>
  </si>
  <si>
    <t>BDK1506-002</t>
  </si>
  <si>
    <t>Béatitude</t>
  </si>
  <si>
    <t>Triplixam 10mg/1,25mg/10mg</t>
  </si>
  <si>
    <t>Prix de produit elevé  /  ajout financier</t>
  </si>
  <si>
    <t>BDK1606-001</t>
  </si>
  <si>
    <t>Mr Patadi</t>
  </si>
  <si>
    <t>06 983 49 07</t>
  </si>
  <si>
    <t>Ministere de la Fonction Publique</t>
  </si>
  <si>
    <t>BDK2006-001</t>
  </si>
  <si>
    <t>Ketocon  (2200F) + Prozac 20mg (2boîtes) (8200F)</t>
  </si>
  <si>
    <t>Mr Aboubacar</t>
  </si>
  <si>
    <t>05 519 0878</t>
  </si>
  <si>
    <t>Croisement Mbaka - Marien Ngouabi</t>
  </si>
  <si>
    <t>Lait hydratant Cerave GM (19800F)</t>
  </si>
  <si>
    <t>Semaine 15</t>
  </si>
  <si>
    <t>119 rue Bakoukouyas, avant le madoukou de Ouenze</t>
  </si>
  <si>
    <t>Vitamine K1 Cheplapharm (6700F)</t>
  </si>
  <si>
    <t>BDK3006-002</t>
  </si>
  <si>
    <t>Marc / Madame Antoinette</t>
  </si>
  <si>
    <t>06 952 6731</t>
  </si>
  <si>
    <t>Perspective d'avenir, Plateaux des 15ans / Madibou</t>
  </si>
  <si>
    <t>Metformin Denk (3350F)</t>
  </si>
  <si>
    <t>BDK3006-003</t>
  </si>
  <si>
    <t>Semaine 17</t>
  </si>
  <si>
    <t>Madame Makaya</t>
  </si>
  <si>
    <t>05 341 8131</t>
  </si>
  <si>
    <t>Hotel Golden Diata</t>
  </si>
  <si>
    <t>Coveram 5mg cp  (15100F)</t>
  </si>
  <si>
    <t>Madame Liptia</t>
  </si>
  <si>
    <t>06 656 0118</t>
  </si>
  <si>
    <t>Hotel Kinpenski, Centre-Ville</t>
  </si>
  <si>
    <t>Gilbert Bicarbonate Sodium 250mg  (2200F) + Creme Cochon (12600F)</t>
  </si>
  <si>
    <t>BDK0107-001</t>
  </si>
  <si>
    <t>Vitamine K1 Cheplapharm  (6700F) + Pairs de gants (500F)</t>
  </si>
  <si>
    <t>BDK0407-001</t>
  </si>
  <si>
    <t xml:space="preserve">Lycée de Kintele </t>
  </si>
  <si>
    <t>Oxiprolane repair (35500F) + Oxiprolane eclat du teint (30500F)</t>
  </si>
  <si>
    <t>BDK0607-001</t>
  </si>
  <si>
    <t>Mr Yannick</t>
  </si>
  <si>
    <t>06 819 23 43</t>
  </si>
  <si>
    <t>rue Bangui avant terre jaune</t>
  </si>
  <si>
    <t>Tensiometre  (22500F)</t>
  </si>
  <si>
    <t>Mr Jerry</t>
  </si>
  <si>
    <t>06 455 3395</t>
  </si>
  <si>
    <t>En diagonale de l'ambassade du Gabon</t>
  </si>
  <si>
    <t xml:space="preserve">Augmacilin (2850F) </t>
  </si>
  <si>
    <t>BDK0707-001</t>
  </si>
  <si>
    <t>Oxiprolane Savon exfoliant (10500F) + Oxiprolane eclat du teint (24800F)</t>
  </si>
  <si>
    <t>BDK1007-001</t>
  </si>
  <si>
    <t>Physiodose (5300F)</t>
  </si>
  <si>
    <t>Croiscarde 150ml</t>
  </si>
  <si>
    <t>Perte d'achat / mauvais produit acheté / achat d'un nouveau</t>
  </si>
  <si>
    <t>Ronp point Ebina</t>
  </si>
  <si>
    <t>Mr Beldie</t>
  </si>
  <si>
    <t xml:space="preserve"> 06 948 36 41</t>
  </si>
  <si>
    <t>Marché Total Nouvelle patisserie</t>
  </si>
  <si>
    <t>Nursi Experrtise</t>
  </si>
  <si>
    <t>BDK0206-002</t>
  </si>
  <si>
    <t>Batiement du Conseil National</t>
  </si>
  <si>
    <t>Brant jynes</t>
  </si>
  <si>
    <t>Carteol LP  (9650F) +  Parodantax (5575F)+  Juvamine Mlatonine x3 (8925F)</t>
  </si>
  <si>
    <t>06 476 1900</t>
  </si>
  <si>
    <t>Hydrosol Polyvitamin</t>
  </si>
  <si>
    <t>BDK1807-001</t>
  </si>
  <si>
    <t>06 810 7979</t>
  </si>
  <si>
    <t>Patisserie Omega</t>
  </si>
  <si>
    <t xml:space="preserve">Ketocon  (2150F) </t>
  </si>
  <si>
    <t>ANNULÉE</t>
  </si>
  <si>
    <t>Perte d'achat / commande annulée</t>
  </si>
  <si>
    <t>BDK2107-001</t>
  </si>
  <si>
    <t xml:space="preserve">Fluoxetine VIR 20mg (3550F) </t>
  </si>
  <si>
    <t>BDK2407-001</t>
  </si>
  <si>
    <t>Mr Marc</t>
  </si>
  <si>
    <t xml:space="preserve">Perspective d'avenir, Plateaux des 15ans </t>
  </si>
  <si>
    <t xml:space="preserve">Dexeryl  (4000F) </t>
  </si>
  <si>
    <t>BDK2507-001</t>
  </si>
  <si>
    <t>06 616 8930</t>
  </si>
  <si>
    <t>Marché Poto-Pöto</t>
  </si>
  <si>
    <t xml:space="preserve">La Roche-Posey baume B5+ (19500F) </t>
  </si>
  <si>
    <t>BDK2507-002</t>
  </si>
  <si>
    <t xml:space="preserve">Mycolex 3 creme (4300F) + Alerid (2150F) </t>
  </si>
  <si>
    <t>BDK2707-001</t>
  </si>
  <si>
    <t>Semaine 18</t>
  </si>
  <si>
    <t>Mr Henri</t>
  </si>
  <si>
    <t xml:space="preserve">Ca-C 1000 (2200F) </t>
  </si>
  <si>
    <t>BDK2807-001</t>
  </si>
  <si>
    <t>BDK2807-002</t>
  </si>
  <si>
    <t xml:space="preserve">Gel lubrifiant Manix (10000F) + 3 stick vitamax (6000F) </t>
  </si>
  <si>
    <t>BDK2807-003</t>
  </si>
  <si>
    <t>Mr Melchi / Marc</t>
  </si>
  <si>
    <t xml:space="preserve">Prima Card (3600F) + Domino (2900F)+ Dexeryl (4000F)  </t>
  </si>
  <si>
    <t>BDK2907-001</t>
  </si>
  <si>
    <t>Natispary (4350F)</t>
  </si>
  <si>
    <t>BDK3007-001</t>
  </si>
  <si>
    <t>Mr Emmanuel</t>
  </si>
  <si>
    <t>05 751 7187</t>
  </si>
  <si>
    <t>Avenue 16e rue Nko</t>
  </si>
  <si>
    <t>Itracibra (8525F)</t>
  </si>
  <si>
    <t>Perte de cout de livraison  / Mauvaise adresse</t>
  </si>
  <si>
    <t>BDK0408-001</t>
  </si>
  <si>
    <t>Mr Renel</t>
  </si>
  <si>
    <t>Seringue (500F)</t>
  </si>
  <si>
    <t>Perte de cout de livraison  /</t>
  </si>
  <si>
    <t>BDK0508-001</t>
  </si>
  <si>
    <t>Mr Abdoul</t>
  </si>
  <si>
    <t>Marché Total Centre Sportive</t>
  </si>
  <si>
    <t>Adele</t>
  </si>
  <si>
    <t>Viridis (3550F)</t>
  </si>
  <si>
    <t xml:space="preserve">Perte de cout de livraison  / </t>
  </si>
  <si>
    <t>BDK0508-002</t>
  </si>
  <si>
    <t>Primalac  x2 (11200F)</t>
  </si>
  <si>
    <t>BDK0508-003</t>
  </si>
  <si>
    <t>BDK0808-001</t>
  </si>
  <si>
    <t>BDK0808-002</t>
  </si>
  <si>
    <t>Mr Dave</t>
  </si>
  <si>
    <t>06 117 0317</t>
  </si>
  <si>
    <t>Bifouiti</t>
  </si>
  <si>
    <t>BDK1108-001</t>
  </si>
  <si>
    <t>Oxiprolane Savon exfoliant (11500F) + Oxiprolane eclat du teint (33900F) + Oxiprolane repair (39200F)</t>
  </si>
  <si>
    <t>BDK1308-001</t>
  </si>
  <si>
    <t>Hotel Golden</t>
  </si>
  <si>
    <t>Alfamox (4750F) + Broncathiol (2700F) +Dolipraner (1250F)</t>
  </si>
  <si>
    <t>BDK1508-001</t>
  </si>
  <si>
    <t xml:space="preserve">Pinkoo (1500F) </t>
  </si>
  <si>
    <t>BDK1508-002</t>
  </si>
  <si>
    <t>Metformine 500mg (1000F) + Metformine 1000 (3350F)</t>
  </si>
  <si>
    <t>BDK1508-003</t>
  </si>
  <si>
    <t>Mme Michelle</t>
  </si>
  <si>
    <t>06 643 3738</t>
  </si>
  <si>
    <t>Moukondo, arret pharmacie</t>
  </si>
  <si>
    <t xml:space="preserve">Bethléem </t>
  </si>
  <si>
    <t>Forxiga 10mg (17050F) + Sitapril 50 1000mg (10300F)</t>
  </si>
  <si>
    <t>BDK1708-001</t>
  </si>
  <si>
    <t>BDK1808-001</t>
  </si>
  <si>
    <t>Artefan 20/120 SP (1425F) + Flagyl 125 SP (2600F) + Panadol SP (1350F) + Nursi Adialac 1e age (6200F)</t>
  </si>
  <si>
    <t>BDK1908-001</t>
  </si>
  <si>
    <t>Mme Asta</t>
  </si>
  <si>
    <t>06 857 8845</t>
  </si>
  <si>
    <t>64 rue Lampama, vers la Station de Talagai</t>
  </si>
  <si>
    <t>Anafranil 25mg cp (9500F)</t>
  </si>
  <si>
    <t>BDK1908-002</t>
  </si>
  <si>
    <t>65 rue Lampama, vers la Station de Talagai</t>
  </si>
  <si>
    <t>Anafranil 25mg cp (6200F)</t>
  </si>
  <si>
    <t>BDK2108-001</t>
  </si>
  <si>
    <t>Aqualarm (5875F)</t>
  </si>
  <si>
    <t>BDK2108-002</t>
  </si>
  <si>
    <t>Fluoxetine VIR 20mg (3550F) x2</t>
  </si>
  <si>
    <t>Lamisil cream</t>
  </si>
  <si>
    <t xml:space="preserve">Mr Jérémie </t>
  </si>
  <si>
    <t>06 872 55 15</t>
  </si>
  <si>
    <t>Etablissement EAD, Moungali</t>
  </si>
  <si>
    <t xml:space="preserve">Baume a lèvre </t>
  </si>
  <si>
    <t>BDK2708-001</t>
  </si>
  <si>
    <t xml:space="preserve">Ketocon  (3850F) </t>
  </si>
  <si>
    <t xml:space="preserve">communication tardive  du montant du  produit </t>
  </si>
  <si>
    <t xml:space="preserve">Physiolac  (5400F) x2 Physiodose  (5300F) </t>
  </si>
  <si>
    <t>BDK3108-001</t>
  </si>
  <si>
    <t>Mr Makaya</t>
  </si>
  <si>
    <t>06 510 73 28</t>
  </si>
  <si>
    <t>Carteol LP 2% 7200</t>
  </si>
  <si>
    <t xml:space="preserve">Polyfresh Extra 6150 </t>
  </si>
  <si>
    <t>Lacoma Collyre 10650</t>
  </si>
  <si>
    <t>Etostri 90mg 5000</t>
  </si>
  <si>
    <t>Adèle</t>
  </si>
  <si>
    <t>Actinac gel 2 unités 2550 x2</t>
  </si>
  <si>
    <t>Alfuzosine LP 12550</t>
  </si>
  <si>
    <t>BDK0109-001</t>
  </si>
  <si>
    <t>Norvelo 4150F</t>
  </si>
  <si>
    <t>BDK0109-002</t>
  </si>
  <si>
    <t>06 806 88 18</t>
  </si>
  <si>
    <t>diata, chateau d'eau , vers le bar ex mwety , avenue emile biayeda</t>
  </si>
  <si>
    <t>Nutriplus Vitamine B12 18200F</t>
  </si>
  <si>
    <t>BDK0309-001</t>
  </si>
  <si>
    <t>Jardin public vers Blanche Gomez</t>
  </si>
  <si>
    <t>Lait hydratant Cerave GM (20100F)</t>
  </si>
  <si>
    <t>BDK0309-002</t>
  </si>
  <si>
    <t>119 rue bakoukouyas poto poto</t>
  </si>
  <si>
    <t>Bepanthen eczéma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</si>
</sst>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FCFA&quot;"/>
    <numFmt numFmtId="165" formatCode="#,##0[$FCFA]"/>
  </numFmts>
  <fonts count="17">
    <font>
      <sz val="11"/>
      <color theme="1"/>
      <name val="Calibri"/>
      <family val="2"/>
      <scheme val="minor"/>
    </font>
    <font>
      <b/>
      <sz val="19"/>
      <color rgb="FFFFFFFF"/>
      <name val="Arial"/>
    </font>
    <font>
      <sz val="11"/>
      <name val="Calibri"/>
    </font>
    <font>
      <sz val="11"/>
      <color theme="1"/>
      <name val="Calibri"/>
    </font>
    <font>
      <b/>
      <sz val="9"/>
      <color rgb="FFFFFFFF"/>
      <name val="Arial"/>
    </font>
    <font>
      <sz val="9"/>
      <color rgb="FF2B2B2B"/>
      <name val="Arial"/>
    </font>
    <font>
      <b/>
      <sz val="9"/>
      <color rgb="FF1B4B43"/>
      <name val="Arial"/>
    </font>
    <font>
      <b/>
      <sz val="19"/>
      <color theme="1"/>
      <name val="Arial"/>
    </font>
    <font>
      <sz val="11"/>
      <color rgb="FFFF0000"/>
      <name val="Calibri"/>
    </font>
    <font>
      <sz val="9"/>
      <color rgb="FFFF0000"/>
      <name val="Arial"/>
    </font>
    <font>
      <b/>
      <sz val="9"/>
      <color rgb="FF1E8449"/>
      <name val="Arial"/>
    </font>
    <font>
      <b/>
      <sz val="9"/>
      <color rgb="FFFF0000"/>
      <name val="Arial"/>
    </font>
    <font>
      <sz val="11"/>
      <color rgb="FF434343"/>
      <name val="Calibri"/>
    </font>
    <font>
      <sz val="9"/>
      <color rgb="FF434343"/>
      <name val="Arial"/>
    </font>
    <font>
      <sz val="9"/>
      <color theme="1"/>
      <name val="Arial"/>
    </font>
    <font>
      <b/>
      <sz val="11"/>
      <color rgb="FFFFFFFF"/>
      <name val="Verdana"/>
    </font>
    <font>
      <b/>
      <sz val="11"/>
      <color theme="1"/>
      <name val="Verdana"/>
    </font>
  </fonts>
  <fills count="8">
    <fill>
      <patternFill patternType="none"/>
    </fill>
    <fill>
      <patternFill patternType="gray125"/>
    </fill>
    <fill>
      <patternFill patternType="solid">
        <fgColor rgb="FF1B4B43"/>
        <bgColor rgb="FF1B4B43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EAF3F1"/>
        <bgColor rgb="FFEAF3F1"/>
      </patternFill>
    </fill>
    <fill>
      <patternFill patternType="solid">
        <fgColor rgb="FFF4CCCC"/>
        <bgColor rgb="FFF4CCCC"/>
      </patternFill>
    </fill>
    <fill>
      <patternFill patternType="solid">
        <fgColor rgb="FFE7F9EF"/>
        <bgColor rgb="FFE7F9EF"/>
      </patternFill>
    </fill>
  </fills>
  <borders count="17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/>
      <bottom style="thin">
        <color rgb="FFD9E2E0"/>
      </bottom>
      <diagonal/>
    </border>
    <border>
      <left/>
      <right style="thin">
        <color rgb="FFFFFFFF"/>
      </right>
      <top style="thin">
        <color rgb="FF2E8B7A"/>
      </top>
      <bottom/>
      <diagonal/>
    </border>
    <border>
      <left style="thin">
        <color rgb="FFFFFFFF"/>
      </left>
      <right style="thin">
        <color rgb="FFFFFFFF"/>
      </right>
      <top style="thin">
        <color rgb="FF2E8B7A"/>
      </top>
      <bottom/>
      <diagonal/>
    </border>
    <border>
      <left style="thin">
        <color rgb="FFFFFFFF"/>
      </left>
      <right/>
      <top style="thin">
        <color rgb="FF2E8B7A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2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/>
    </xf>
    <xf numFmtId="0" fontId="5" fillId="3" borderId="7" xfId="0" applyFont="1" applyFill="1" applyBorder="1"/>
    <xf numFmtId="14" fontId="5" fillId="3" borderId="7" xfId="0" applyNumberFormat="1" applyFont="1" applyFill="1" applyBorder="1"/>
    <xf numFmtId="164" fontId="5" fillId="3" borderId="7" xfId="0" applyNumberFormat="1" applyFont="1" applyFill="1" applyBorder="1"/>
    <xf numFmtId="164" fontId="6" fillId="3" borderId="7" xfId="0" applyNumberFormat="1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14" fontId="5" fillId="3" borderId="0" xfId="0" applyNumberFormat="1" applyFont="1" applyFill="1"/>
    <xf numFmtId="164" fontId="5" fillId="3" borderId="0" xfId="0" applyNumberFormat="1" applyFont="1" applyFill="1"/>
    <xf numFmtId="0" fontId="7" fillId="3" borderId="8" xfId="0" applyFont="1" applyFill="1" applyBorder="1" applyAlignment="1">
      <alignment horizontal="left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5" fillId="4" borderId="7" xfId="0" applyFont="1" applyFill="1" applyBorder="1" applyAlignment="1">
      <alignment horizontal="center"/>
    </xf>
    <xf numFmtId="0" fontId="5" fillId="4" borderId="7" xfId="0" applyFont="1" applyFill="1" applyBorder="1"/>
    <xf numFmtId="14" fontId="5" fillId="4" borderId="7" xfId="0" applyNumberFormat="1" applyFont="1" applyFill="1" applyBorder="1"/>
    <xf numFmtId="164" fontId="5" fillId="4" borderId="7" xfId="0" applyNumberFormat="1" applyFont="1" applyFill="1" applyBorder="1"/>
    <xf numFmtId="164" fontId="6" fillId="4" borderId="7" xfId="0" applyNumberFormat="1" applyFont="1" applyFill="1" applyBorder="1"/>
    <xf numFmtId="0" fontId="5" fillId="0" borderId="7" xfId="0" applyFont="1" applyBorder="1"/>
    <xf numFmtId="1" fontId="5" fillId="0" borderId="7" xfId="0" applyNumberFormat="1" applyFont="1" applyBorder="1"/>
    <xf numFmtId="0" fontId="5" fillId="0" borderId="7" xfId="0" applyFont="1" applyBorder="1" applyAlignment="1">
      <alignment horizontal="center"/>
    </xf>
    <xf numFmtId="164" fontId="5" fillId="0" borderId="7" xfId="0" applyNumberFormat="1" applyFont="1" applyBorder="1"/>
    <xf numFmtId="0" fontId="3" fillId="0" borderId="0" xfId="0" applyFont="1" applyAlignment="1">
      <alignment horizontal="center"/>
    </xf>
    <xf numFmtId="165" fontId="5" fillId="5" borderId="7" xfId="0" applyNumberFormat="1" applyFont="1" applyFill="1" applyBorder="1"/>
    <xf numFmtId="1" fontId="5" fillId="5" borderId="7" xfId="0" applyNumberFormat="1" applyFont="1" applyFill="1" applyBorder="1"/>
    <xf numFmtId="0" fontId="5" fillId="5" borderId="7" xfId="0" applyFont="1" applyFill="1" applyBorder="1"/>
    <xf numFmtId="0" fontId="5" fillId="5" borderId="7" xfId="0" applyFont="1" applyFill="1" applyBorder="1" applyAlignment="1">
      <alignment horizontal="center"/>
    </xf>
    <xf numFmtId="164" fontId="5" fillId="5" borderId="7" xfId="0" applyNumberFormat="1" applyFont="1" applyFill="1" applyBorder="1"/>
    <xf numFmtId="165" fontId="5" fillId="0" borderId="7" xfId="0" applyNumberFormat="1" applyFont="1" applyBorder="1"/>
    <xf numFmtId="0" fontId="5" fillId="4" borderId="7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65" fontId="5" fillId="6" borderId="7" xfId="0" applyNumberFormat="1" applyFont="1" applyFill="1" applyBorder="1"/>
    <xf numFmtId="0" fontId="5" fillId="6" borderId="7" xfId="0" applyFont="1" applyFill="1" applyBorder="1"/>
    <xf numFmtId="0" fontId="5" fillId="6" borderId="7" xfId="0" applyFont="1" applyFill="1" applyBorder="1" applyAlignment="1">
      <alignment horizontal="center"/>
    </xf>
    <xf numFmtId="164" fontId="5" fillId="6" borderId="7" xfId="0" applyNumberFormat="1" applyFont="1" applyFill="1" applyBorder="1"/>
    <xf numFmtId="0" fontId="8" fillId="6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14" fontId="5" fillId="4" borderId="7" xfId="0" applyNumberFormat="1" applyFont="1" applyFill="1" applyBorder="1" applyAlignment="1">
      <alignment vertical="center"/>
    </xf>
    <xf numFmtId="0" fontId="5" fillId="4" borderId="7" xfId="0" applyFont="1" applyFill="1" applyBorder="1" applyAlignment="1">
      <alignment vertical="center" wrapText="1"/>
    </xf>
    <xf numFmtId="165" fontId="5" fillId="6" borderId="0" xfId="0" applyNumberFormat="1" applyFont="1" applyFill="1" applyAlignment="1">
      <alignment horizontal="center"/>
    </xf>
    <xf numFmtId="165" fontId="5" fillId="6" borderId="7" xfId="0" applyNumberFormat="1" applyFont="1" applyFill="1" applyBorder="1" applyAlignment="1">
      <alignment horizontal="center"/>
    </xf>
    <xf numFmtId="165" fontId="9" fillId="6" borderId="7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3" borderId="7" xfId="0" applyFont="1" applyFill="1" applyBorder="1"/>
    <xf numFmtId="165" fontId="3" fillId="6" borderId="7" xfId="0" applyNumberFormat="1" applyFont="1" applyFill="1" applyBorder="1"/>
    <xf numFmtId="0" fontId="3" fillId="6" borderId="7" xfId="0" applyFont="1" applyFill="1" applyBorder="1"/>
    <xf numFmtId="0" fontId="10" fillId="6" borderId="7" xfId="0" applyFont="1" applyFill="1" applyBorder="1" applyAlignment="1">
      <alignment horizontal="center"/>
    </xf>
    <xf numFmtId="0" fontId="3" fillId="4" borderId="7" xfId="0" applyFont="1" applyFill="1" applyBorder="1"/>
    <xf numFmtId="165" fontId="3" fillId="5" borderId="7" xfId="0" applyNumberFormat="1" applyFont="1" applyFill="1" applyBorder="1"/>
    <xf numFmtId="0" fontId="3" fillId="5" borderId="7" xfId="0" applyFont="1" applyFill="1" applyBorder="1"/>
    <xf numFmtId="0" fontId="10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11" fillId="6" borderId="7" xfId="0" applyFont="1" applyFill="1" applyBorder="1" applyAlignment="1">
      <alignment horizontal="center"/>
    </xf>
    <xf numFmtId="165" fontId="5" fillId="7" borderId="7" xfId="0" applyNumberFormat="1" applyFont="1" applyFill="1" applyBorder="1"/>
    <xf numFmtId="0" fontId="5" fillId="7" borderId="7" xfId="0" applyFont="1" applyFill="1" applyBorder="1"/>
    <xf numFmtId="0" fontId="5" fillId="7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5" fillId="7" borderId="7" xfId="0" applyNumberFormat="1" applyFont="1" applyFill="1" applyBorder="1"/>
    <xf numFmtId="0" fontId="3" fillId="7" borderId="0" xfId="0" applyFont="1" applyFill="1" applyAlignment="1">
      <alignment horizontal="center"/>
    </xf>
    <xf numFmtId="0" fontId="3" fillId="6" borderId="0" xfId="0" applyFont="1" applyFill="1"/>
    <xf numFmtId="165" fontId="3" fillId="0" borderId="0" xfId="0" applyNumberFormat="1" applyFont="1"/>
    <xf numFmtId="165" fontId="3" fillId="6" borderId="0" xfId="0" applyNumberFormat="1" applyFont="1" applyFill="1"/>
    <xf numFmtId="0" fontId="12" fillId="6" borderId="0" xfId="0" applyFont="1" applyFill="1" applyAlignment="1">
      <alignment horizontal="center"/>
    </xf>
    <xf numFmtId="14" fontId="5" fillId="4" borderId="7" xfId="0" applyNumberFormat="1" applyFont="1" applyFill="1" applyBorder="1" applyAlignment="1">
      <alignment horizontal="right"/>
    </xf>
    <xf numFmtId="164" fontId="5" fillId="4" borderId="7" xfId="0" applyNumberFormat="1" applyFont="1" applyFill="1" applyBorder="1" applyAlignment="1">
      <alignment horizontal="right"/>
    </xf>
    <xf numFmtId="164" fontId="6" fillId="4" borderId="7" xfId="0" applyNumberFormat="1" applyFont="1" applyFill="1" applyBorder="1" applyAlignment="1">
      <alignment horizontal="right"/>
    </xf>
    <xf numFmtId="165" fontId="3" fillId="6" borderId="0" xfId="0" applyNumberFormat="1" applyFont="1" applyFill="1" applyAlignment="1">
      <alignment horizontal="right"/>
    </xf>
    <xf numFmtId="164" fontId="5" fillId="3" borderId="7" xfId="0" applyNumberFormat="1" applyFont="1" applyFill="1" applyBorder="1" applyAlignment="1">
      <alignment horizontal="right"/>
    </xf>
    <xf numFmtId="164" fontId="6" fillId="3" borderId="7" xfId="0" applyNumberFormat="1" applyFont="1" applyFill="1" applyBorder="1" applyAlignment="1">
      <alignment horizontal="right"/>
    </xf>
    <xf numFmtId="165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12" fillId="3" borderId="0" xfId="0" applyFont="1" applyFill="1" applyAlignment="1">
      <alignment horizontal="center"/>
    </xf>
    <xf numFmtId="165" fontId="3" fillId="3" borderId="0" xfId="0" applyNumberFormat="1" applyFont="1" applyFill="1"/>
    <xf numFmtId="164" fontId="3" fillId="4" borderId="7" xfId="0" applyNumberFormat="1" applyFont="1" applyFill="1" applyBorder="1"/>
    <xf numFmtId="14" fontId="5" fillId="3" borderId="7" xfId="0" applyNumberFormat="1" applyFont="1" applyFill="1" applyBorder="1" applyAlignment="1">
      <alignment horizontal="right"/>
    </xf>
    <xf numFmtId="164" fontId="3" fillId="3" borderId="7" xfId="0" applyNumberFormat="1" applyFont="1" applyFill="1" applyBorder="1"/>
    <xf numFmtId="0" fontId="3" fillId="3" borderId="14" xfId="0" applyFont="1" applyFill="1" applyBorder="1" applyAlignment="1">
      <alignment horizontal="center"/>
    </xf>
    <xf numFmtId="0" fontId="3" fillId="4" borderId="0" xfId="0" applyFont="1" applyFill="1"/>
    <xf numFmtId="0" fontId="3" fillId="4" borderId="14" xfId="0" applyFont="1" applyFill="1" applyBorder="1" applyAlignment="1">
      <alignment horizontal="center"/>
    </xf>
    <xf numFmtId="0" fontId="3" fillId="3" borderId="16" xfId="0" applyFont="1" applyFill="1" applyBorder="1"/>
    <xf numFmtId="0" fontId="15" fillId="3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3" xfId="0" applyFont="1" applyFill="1" applyBorder="1"/>
    <xf numFmtId="0" fontId="16" fillId="3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3" xfId="0" applyFont="1" applyFill="1" applyBorder="1"/>
    <xf numFmtId="0" fontId="16" fillId="4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4" borderId="0" xfId="0" applyFont="1" applyFill="1"/>
    <xf numFmtId="0" fontId="2" fillId="3" borderId="0" xfId="0" applyFont="1" applyFill="1"/>
    <xf numFmtId="0" fontId="2" fillId="4" borderId="7" xfId="0" applyFont="1" applyFill="1" applyBorder="1"/>
    <xf numFmtId="0" fontId="5" fillId="4" borderId="0" xfId="0" applyFont="1" applyFill="1" applyAlignment="1">
      <alignment vertical="center"/>
    </xf>
    <xf numFmtId="0" fontId="0" fillId="0" borderId="0" xfId="0"/>
    <xf numFmtId="0" fontId="3" fillId="3" borderId="11" xfId="0" applyFont="1" applyFill="1" applyBorder="1" applyAlignment="1">
      <alignment horizontal="center" vertical="center"/>
    </xf>
    <xf numFmtId="0" fontId="2" fillId="4" borderId="11" xfId="0" applyFont="1" applyFill="1" applyBorder="1"/>
    <xf numFmtId="0" fontId="2" fillId="3" borderId="11" xfId="0" applyFont="1" applyFill="1" applyBorder="1"/>
    <xf numFmtId="0" fontId="2" fillId="4" borderId="14" xfId="0" applyFont="1" applyFill="1" applyBorder="1"/>
    <xf numFmtId="0" fontId="5" fillId="3" borderId="0" xfId="0" applyFont="1" applyFill="1"/>
    <xf numFmtId="14" fontId="5" fillId="3" borderId="0" xfId="0" applyNumberFormat="1" applyFont="1" applyFill="1" applyAlignment="1">
      <alignment horizontal="right" vertical="center"/>
    </xf>
    <xf numFmtId="0" fontId="3" fillId="3" borderId="0" xfId="0" applyFont="1" applyFill="1"/>
    <xf numFmtId="0" fontId="3" fillId="3" borderId="0" xfId="0" applyFont="1" applyFill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2" fillId="4" borderId="15" xfId="0" applyFont="1" applyFill="1" applyBorder="1"/>
    <xf numFmtId="0" fontId="2" fillId="3" borderId="15" xfId="0" applyFont="1" applyFill="1" applyBorder="1"/>
    <xf numFmtId="0" fontId="2" fillId="4" borderId="1" xfId="0" applyFont="1" applyFill="1" applyBorder="1"/>
    <xf numFmtId="0" fontId="3" fillId="3" borderId="15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2" fillId="3" borderId="7" xfId="0" applyFont="1" applyFill="1" applyBorder="1"/>
    <xf numFmtId="0" fontId="5" fillId="4" borderId="0" xfId="0" applyFont="1" applyFill="1"/>
    <xf numFmtId="14" fontId="5" fillId="4" borderId="0" xfId="0" applyNumberFormat="1" applyFont="1" applyFill="1" applyAlignment="1">
      <alignment horizontal="right" vertical="center"/>
    </xf>
    <xf numFmtId="0" fontId="14" fillId="4" borderId="0" xfId="0" applyFont="1" applyFill="1" applyAlignment="1">
      <alignment horizontal="center" vertical="center"/>
    </xf>
    <xf numFmtId="164" fontId="5" fillId="4" borderId="0" xfId="0" applyNumberFormat="1" applyFont="1" applyFill="1"/>
    <xf numFmtId="0" fontId="5" fillId="3" borderId="0" xfId="0" applyFont="1" applyFill="1" applyAlignment="1">
      <alignment horizontal="center"/>
    </xf>
    <xf numFmtId="0" fontId="2" fillId="0" borderId="7" xfId="0" applyFont="1" applyBorder="1"/>
    <xf numFmtId="0" fontId="5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vertical="center"/>
    </xf>
    <xf numFmtId="14" fontId="5" fillId="4" borderId="0" xfId="0" applyNumberFormat="1" applyFont="1" applyFill="1" applyAlignment="1">
      <alignment vertical="center"/>
    </xf>
    <xf numFmtId="0" fontId="2" fillId="0" borderId="0" xfId="0" applyFont="1"/>
    <xf numFmtId="164" fontId="5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6" fillId="4" borderId="0" xfId="0" applyNumberFormat="1" applyFont="1" applyFill="1" applyAlignment="1">
      <alignment vertical="center"/>
    </xf>
    <xf numFmtId="165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EF4E-733E-4406-843A-E604E100C046}">
  <dimension ref="A1:Z137"/>
  <sheetViews>
    <sheetView tabSelected="1" topLeftCell="A243" workbookViewId="0">
      <selection activeCell="D31" sqref="D31"/>
    </sheetView>
  </sheetViews>
  <sheetFormatPr baseColWidth="10" defaultRowHeight="14.4"/>
  <sheetData>
    <row r="1" spans="1:26">
      <c r="A1" s="144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"/>
    </row>
    <row r="2" spans="1:26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"/>
    </row>
    <row r="3" spans="1:26" ht="15" thickBot="1">
      <c r="A3" s="2"/>
      <c r="B3" s="3"/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"/>
    </row>
    <row r="4" spans="1:26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ht="36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8" t="s">
        <v>16</v>
      </c>
      <c r="P5" s="8" t="s">
        <v>17</v>
      </c>
      <c r="Q5" s="8" t="s">
        <v>18</v>
      </c>
      <c r="R5" s="8" t="s">
        <v>19</v>
      </c>
      <c r="S5" s="8" t="s">
        <v>20</v>
      </c>
      <c r="T5" s="8" t="s">
        <v>21</v>
      </c>
      <c r="U5" s="8" t="s">
        <v>22</v>
      </c>
      <c r="V5" s="8" t="s">
        <v>23</v>
      </c>
      <c r="W5" s="8" t="s">
        <v>24</v>
      </c>
      <c r="X5" s="8" t="s">
        <v>25</v>
      </c>
      <c r="Y5" s="8" t="s">
        <v>26</v>
      </c>
      <c r="Z5" s="8" t="s">
        <v>27</v>
      </c>
    </row>
    <row r="6" spans="1:26">
      <c r="A6" s="9">
        <v>1</v>
      </c>
      <c r="B6" s="10" t="s">
        <v>28</v>
      </c>
      <c r="C6" s="10" t="s">
        <v>29</v>
      </c>
      <c r="D6" s="11">
        <v>45791</v>
      </c>
      <c r="E6" s="10" t="s">
        <v>30</v>
      </c>
      <c r="F6" s="10" t="s">
        <v>31</v>
      </c>
      <c r="G6" s="10" t="s">
        <v>32</v>
      </c>
      <c r="H6" s="9" t="s">
        <v>33</v>
      </c>
      <c r="I6" s="10" t="s">
        <v>34</v>
      </c>
      <c r="J6" s="10" t="s">
        <v>35</v>
      </c>
      <c r="K6" s="10" t="s">
        <v>36</v>
      </c>
      <c r="L6" s="10" t="s">
        <v>37</v>
      </c>
      <c r="M6" s="9">
        <v>1</v>
      </c>
      <c r="N6" s="10" t="s">
        <v>38</v>
      </c>
      <c r="O6" s="12">
        <v>3400</v>
      </c>
      <c r="P6" s="12">
        <v>1000</v>
      </c>
      <c r="Q6" s="13">
        <f t="shared" ref="Q6:Q35" si="0">O6+P6</f>
        <v>4400</v>
      </c>
      <c r="R6" s="10"/>
      <c r="S6" s="10"/>
      <c r="T6" s="10" t="s">
        <v>39</v>
      </c>
      <c r="U6" s="10" t="s">
        <v>40</v>
      </c>
      <c r="V6" s="9">
        <v>0.55000000000000004</v>
      </c>
      <c r="W6" s="9" t="s">
        <v>41</v>
      </c>
      <c r="X6" s="12">
        <v>3400</v>
      </c>
      <c r="Y6" s="12">
        <v>0</v>
      </c>
      <c r="Z6" s="1"/>
    </row>
    <row r="7" spans="1:26">
      <c r="A7" s="9">
        <v>2</v>
      </c>
      <c r="B7" s="10" t="s">
        <v>42</v>
      </c>
      <c r="C7" s="10" t="s">
        <v>29</v>
      </c>
      <c r="D7" s="11">
        <v>45793</v>
      </c>
      <c r="E7" s="10" t="s">
        <v>43</v>
      </c>
      <c r="F7" s="10" t="s">
        <v>44</v>
      </c>
      <c r="G7" s="10" t="s">
        <v>32</v>
      </c>
      <c r="H7" s="9" t="s">
        <v>45</v>
      </c>
      <c r="I7" s="10" t="s">
        <v>46</v>
      </c>
      <c r="J7" s="10" t="s">
        <v>47</v>
      </c>
      <c r="K7" s="10" t="s">
        <v>48</v>
      </c>
      <c r="L7" s="10" t="s">
        <v>49</v>
      </c>
      <c r="M7" s="9">
        <v>1</v>
      </c>
      <c r="N7" s="10" t="s">
        <v>38</v>
      </c>
      <c r="O7" s="12">
        <v>8580</v>
      </c>
      <c r="P7" s="12">
        <v>1000</v>
      </c>
      <c r="Q7" s="13">
        <f t="shared" si="0"/>
        <v>9580</v>
      </c>
      <c r="R7" s="10"/>
      <c r="S7" s="10"/>
      <c r="T7" s="10" t="s">
        <v>39</v>
      </c>
      <c r="U7" s="10" t="s">
        <v>50</v>
      </c>
      <c r="V7" s="9">
        <v>0.54</v>
      </c>
      <c r="W7" s="9" t="s">
        <v>41</v>
      </c>
      <c r="X7" s="12">
        <v>8580</v>
      </c>
      <c r="Y7" s="12">
        <v>0</v>
      </c>
      <c r="Z7" s="1"/>
    </row>
    <row r="8" spans="1:26">
      <c r="A8" s="9">
        <v>3</v>
      </c>
      <c r="B8" s="10" t="s">
        <v>51</v>
      </c>
      <c r="C8" s="10" t="s">
        <v>29</v>
      </c>
      <c r="D8" s="11">
        <v>45794</v>
      </c>
      <c r="E8" s="10" t="s">
        <v>52</v>
      </c>
      <c r="F8" s="10" t="s">
        <v>53</v>
      </c>
      <c r="G8" s="10" t="s">
        <v>54</v>
      </c>
      <c r="H8" s="9" t="s">
        <v>55</v>
      </c>
      <c r="I8" s="10" t="s">
        <v>56</v>
      </c>
      <c r="J8" s="10" t="s">
        <v>57</v>
      </c>
      <c r="K8" s="10" t="s">
        <v>58</v>
      </c>
      <c r="L8" s="10" t="s">
        <v>59</v>
      </c>
      <c r="M8" s="9">
        <v>1</v>
      </c>
      <c r="N8" s="10" t="s">
        <v>38</v>
      </c>
      <c r="O8" s="12">
        <v>5675</v>
      </c>
      <c r="P8" s="12">
        <v>2000</v>
      </c>
      <c r="Q8" s="13">
        <f t="shared" si="0"/>
        <v>7675</v>
      </c>
      <c r="R8" s="10"/>
      <c r="S8" s="10"/>
      <c r="T8" s="10" t="s">
        <v>60</v>
      </c>
      <c r="U8" s="10" t="s">
        <v>61</v>
      </c>
      <c r="V8" s="9">
        <v>1</v>
      </c>
      <c r="W8" s="9" t="s">
        <v>41</v>
      </c>
      <c r="X8" s="12">
        <v>5675</v>
      </c>
      <c r="Y8" s="12">
        <v>0</v>
      </c>
      <c r="Z8" s="1"/>
    </row>
    <row r="9" spans="1:26">
      <c r="A9" s="9">
        <v>4</v>
      </c>
      <c r="B9" s="10" t="s">
        <v>62</v>
      </c>
      <c r="C9" s="10" t="s">
        <v>29</v>
      </c>
      <c r="D9" s="11">
        <v>45794</v>
      </c>
      <c r="E9" s="10"/>
      <c r="F9" s="10" t="s">
        <v>44</v>
      </c>
      <c r="G9" s="10" t="s">
        <v>32</v>
      </c>
      <c r="H9" s="9" t="s">
        <v>45</v>
      </c>
      <c r="I9" s="10" t="s">
        <v>63</v>
      </c>
      <c r="J9" s="10" t="s">
        <v>47</v>
      </c>
      <c r="K9" s="10" t="s">
        <v>48</v>
      </c>
      <c r="L9" s="10" t="s">
        <v>64</v>
      </c>
      <c r="M9" s="9">
        <v>1</v>
      </c>
      <c r="N9" s="10" t="s">
        <v>38</v>
      </c>
      <c r="O9" s="12">
        <v>4950</v>
      </c>
      <c r="P9" s="12">
        <v>1500</v>
      </c>
      <c r="Q9" s="13">
        <f t="shared" si="0"/>
        <v>6450</v>
      </c>
      <c r="R9" s="10"/>
      <c r="S9" s="10"/>
      <c r="T9" s="10" t="s">
        <v>60</v>
      </c>
      <c r="U9" s="10"/>
      <c r="V9" s="9">
        <v>0</v>
      </c>
      <c r="W9" s="9" t="s">
        <v>41</v>
      </c>
      <c r="X9" s="12">
        <v>4950</v>
      </c>
      <c r="Y9" s="12">
        <v>0</v>
      </c>
      <c r="Z9" s="1"/>
    </row>
    <row r="10" spans="1:26">
      <c r="A10" s="9">
        <v>5</v>
      </c>
      <c r="B10" s="10" t="s">
        <v>65</v>
      </c>
      <c r="C10" s="10" t="s">
        <v>29</v>
      </c>
      <c r="D10" s="11">
        <v>45795</v>
      </c>
      <c r="E10" s="10" t="s">
        <v>66</v>
      </c>
      <c r="F10" s="10" t="s">
        <v>67</v>
      </c>
      <c r="G10" s="10" t="s">
        <v>54</v>
      </c>
      <c r="H10" s="9" t="s">
        <v>68</v>
      </c>
      <c r="I10" s="10" t="s">
        <v>69</v>
      </c>
      <c r="J10" s="10" t="s">
        <v>57</v>
      </c>
      <c r="K10" s="10" t="s">
        <v>58</v>
      </c>
      <c r="L10" s="10" t="s">
        <v>70</v>
      </c>
      <c r="M10" s="9">
        <v>1</v>
      </c>
      <c r="N10" s="10" t="s">
        <v>38</v>
      </c>
      <c r="O10" s="12">
        <v>5675</v>
      </c>
      <c r="P10" s="12">
        <v>2000</v>
      </c>
      <c r="Q10" s="13">
        <f t="shared" si="0"/>
        <v>7675</v>
      </c>
      <c r="R10" s="10"/>
      <c r="S10" s="10"/>
      <c r="T10" s="10" t="s">
        <v>60</v>
      </c>
      <c r="U10" s="10"/>
      <c r="V10" s="9">
        <v>0</v>
      </c>
      <c r="W10" s="9" t="s">
        <v>41</v>
      </c>
      <c r="X10" s="12">
        <v>5675</v>
      </c>
      <c r="Y10" s="12">
        <v>0</v>
      </c>
      <c r="Z10" s="1"/>
    </row>
    <row r="11" spans="1:26">
      <c r="A11" s="9">
        <v>6</v>
      </c>
      <c r="B11" s="10" t="s">
        <v>71</v>
      </c>
      <c r="C11" s="10" t="s">
        <v>72</v>
      </c>
      <c r="D11" s="11">
        <v>45806</v>
      </c>
      <c r="E11" s="10" t="s">
        <v>73</v>
      </c>
      <c r="F11" s="10" t="s">
        <v>74</v>
      </c>
      <c r="G11" s="10" t="s">
        <v>32</v>
      </c>
      <c r="H11" s="9" t="s">
        <v>75</v>
      </c>
      <c r="I11" s="10" t="s">
        <v>76</v>
      </c>
      <c r="J11" s="10" t="s">
        <v>47</v>
      </c>
      <c r="K11" s="10" t="s">
        <v>77</v>
      </c>
      <c r="L11" s="10" t="s">
        <v>78</v>
      </c>
      <c r="M11" s="9">
        <v>2</v>
      </c>
      <c r="N11" s="10" t="s">
        <v>38</v>
      </c>
      <c r="O11" s="12">
        <v>8580</v>
      </c>
      <c r="P11" s="12">
        <v>1000</v>
      </c>
      <c r="Q11" s="13">
        <f t="shared" si="0"/>
        <v>9580</v>
      </c>
      <c r="R11" s="10"/>
      <c r="S11" s="10"/>
      <c r="T11" s="10" t="s">
        <v>39</v>
      </c>
      <c r="U11" s="10" t="s">
        <v>79</v>
      </c>
      <c r="V11" s="9">
        <v>0.63</v>
      </c>
      <c r="W11" s="9" t="s">
        <v>41</v>
      </c>
      <c r="X11" s="12">
        <v>8580</v>
      </c>
      <c r="Y11" s="12">
        <v>0</v>
      </c>
      <c r="Z11" s="1"/>
    </row>
    <row r="12" spans="1:26">
      <c r="A12" s="9">
        <v>7</v>
      </c>
      <c r="B12" s="10" t="s">
        <v>80</v>
      </c>
      <c r="C12" s="10" t="s">
        <v>72</v>
      </c>
      <c r="D12" s="11">
        <v>45807</v>
      </c>
      <c r="E12" s="10" t="s">
        <v>81</v>
      </c>
      <c r="F12" s="10" t="s">
        <v>74</v>
      </c>
      <c r="G12" s="10" t="s">
        <v>32</v>
      </c>
      <c r="H12" s="9" t="s">
        <v>75</v>
      </c>
      <c r="I12" s="10" t="s">
        <v>82</v>
      </c>
      <c r="J12" s="10" t="s">
        <v>47</v>
      </c>
      <c r="K12" s="10" t="s">
        <v>77</v>
      </c>
      <c r="L12" s="10" t="s">
        <v>78</v>
      </c>
      <c r="M12" s="9">
        <v>2</v>
      </c>
      <c r="N12" s="10" t="s">
        <v>83</v>
      </c>
      <c r="O12" s="12">
        <v>6930</v>
      </c>
      <c r="P12" s="12">
        <v>1000</v>
      </c>
      <c r="Q12" s="13">
        <f t="shared" si="0"/>
        <v>7930</v>
      </c>
      <c r="R12" s="10"/>
      <c r="S12" s="10"/>
      <c r="T12" s="10" t="s">
        <v>60</v>
      </c>
      <c r="U12" s="10"/>
      <c r="V12" s="9">
        <v>0</v>
      </c>
      <c r="W12" s="9" t="s">
        <v>41</v>
      </c>
      <c r="X12" s="12">
        <v>6930</v>
      </c>
      <c r="Y12" s="12">
        <v>0</v>
      </c>
      <c r="Z12" s="1"/>
    </row>
    <row r="13" spans="1:26">
      <c r="A13" s="9">
        <v>8</v>
      </c>
      <c r="B13" s="10" t="s">
        <v>84</v>
      </c>
      <c r="C13" s="10" t="s">
        <v>85</v>
      </c>
      <c r="D13" s="11">
        <v>45812</v>
      </c>
      <c r="E13" s="10" t="s">
        <v>86</v>
      </c>
      <c r="F13" s="10" t="s">
        <v>31</v>
      </c>
      <c r="G13" s="10" t="s">
        <v>32</v>
      </c>
      <c r="H13" s="9" t="s">
        <v>33</v>
      </c>
      <c r="I13" s="10" t="s">
        <v>87</v>
      </c>
      <c r="J13" s="10" t="s">
        <v>88</v>
      </c>
      <c r="K13" s="10" t="s">
        <v>77</v>
      </c>
      <c r="L13" s="10" t="s">
        <v>89</v>
      </c>
      <c r="M13" s="9">
        <v>1</v>
      </c>
      <c r="N13" s="10" t="s">
        <v>38</v>
      </c>
      <c r="O13" s="12">
        <v>5450</v>
      </c>
      <c r="P13" s="12">
        <v>2000</v>
      </c>
      <c r="Q13" s="13">
        <f t="shared" si="0"/>
        <v>7450</v>
      </c>
      <c r="R13" s="10"/>
      <c r="S13" s="10"/>
      <c r="T13" s="10" t="s">
        <v>60</v>
      </c>
      <c r="U13" s="10" t="s">
        <v>90</v>
      </c>
      <c r="V13" s="9">
        <v>3.98</v>
      </c>
      <c r="W13" s="9" t="s">
        <v>41</v>
      </c>
      <c r="X13" s="12">
        <v>5450</v>
      </c>
      <c r="Y13" s="12">
        <v>0</v>
      </c>
      <c r="Z13" s="1"/>
    </row>
    <row r="14" spans="1:26">
      <c r="A14" s="9">
        <v>9</v>
      </c>
      <c r="B14" s="10" t="s">
        <v>84</v>
      </c>
      <c r="C14" s="10" t="s">
        <v>85</v>
      </c>
      <c r="D14" s="11">
        <v>45812</v>
      </c>
      <c r="E14" s="10" t="s">
        <v>91</v>
      </c>
      <c r="F14" s="10" t="s">
        <v>74</v>
      </c>
      <c r="G14" s="10" t="s">
        <v>32</v>
      </c>
      <c r="H14" s="9" t="s">
        <v>75</v>
      </c>
      <c r="I14" s="10" t="s">
        <v>92</v>
      </c>
      <c r="J14" s="10" t="s">
        <v>47</v>
      </c>
      <c r="K14" s="10" t="s">
        <v>77</v>
      </c>
      <c r="L14" s="10" t="s">
        <v>78</v>
      </c>
      <c r="M14" s="9">
        <v>2</v>
      </c>
      <c r="N14" s="10" t="s">
        <v>38</v>
      </c>
      <c r="O14" s="12">
        <v>6930</v>
      </c>
      <c r="P14" s="12">
        <v>1000</v>
      </c>
      <c r="Q14" s="13">
        <f t="shared" si="0"/>
        <v>7930</v>
      </c>
      <c r="R14" s="10"/>
      <c r="S14" s="10"/>
      <c r="T14" s="10" t="s">
        <v>39</v>
      </c>
      <c r="U14" s="10" t="s">
        <v>93</v>
      </c>
      <c r="V14" s="9">
        <v>0.52</v>
      </c>
      <c r="W14" s="9" t="s">
        <v>41</v>
      </c>
      <c r="X14" s="12">
        <v>6930</v>
      </c>
      <c r="Y14" s="12">
        <v>0</v>
      </c>
      <c r="Z14" s="1"/>
    </row>
    <row r="15" spans="1:26">
      <c r="A15" s="9">
        <v>10</v>
      </c>
      <c r="B15" s="10" t="s">
        <v>94</v>
      </c>
      <c r="C15" s="10" t="s">
        <v>95</v>
      </c>
      <c r="D15" s="11">
        <v>45820</v>
      </c>
      <c r="E15" s="10" t="s">
        <v>96</v>
      </c>
      <c r="F15" s="10" t="s">
        <v>74</v>
      </c>
      <c r="G15" s="10" t="s">
        <v>32</v>
      </c>
      <c r="H15" s="9" t="s">
        <v>75</v>
      </c>
      <c r="I15" s="10" t="s">
        <v>92</v>
      </c>
      <c r="J15" s="10" t="s">
        <v>47</v>
      </c>
      <c r="K15" s="10" t="s">
        <v>77</v>
      </c>
      <c r="L15" s="10" t="s">
        <v>78</v>
      </c>
      <c r="M15" s="9">
        <v>2</v>
      </c>
      <c r="N15" s="10" t="s">
        <v>38</v>
      </c>
      <c r="O15" s="12">
        <v>6930</v>
      </c>
      <c r="P15" s="12">
        <v>1000</v>
      </c>
      <c r="Q15" s="13">
        <f t="shared" si="0"/>
        <v>7930</v>
      </c>
      <c r="R15" s="10"/>
      <c r="S15" s="10"/>
      <c r="T15" s="10" t="s">
        <v>39</v>
      </c>
      <c r="U15" s="10" t="s">
        <v>97</v>
      </c>
      <c r="V15" s="9">
        <v>0.51</v>
      </c>
      <c r="W15" s="9" t="s">
        <v>41</v>
      </c>
      <c r="X15" s="12">
        <v>6930</v>
      </c>
      <c r="Y15" s="12">
        <v>0</v>
      </c>
      <c r="Z15" s="1"/>
    </row>
    <row r="16" spans="1:26">
      <c r="A16" s="9">
        <v>11</v>
      </c>
      <c r="B16" s="10" t="s">
        <v>98</v>
      </c>
      <c r="C16" s="10" t="s">
        <v>95</v>
      </c>
      <c r="D16" s="11">
        <v>45821</v>
      </c>
      <c r="E16" s="10" t="s">
        <v>99</v>
      </c>
      <c r="F16" s="10" t="s">
        <v>67</v>
      </c>
      <c r="G16" s="10" t="s">
        <v>54</v>
      </c>
      <c r="H16" s="9" t="s">
        <v>100</v>
      </c>
      <c r="I16" s="10" t="s">
        <v>101</v>
      </c>
      <c r="J16" s="10" t="s">
        <v>35</v>
      </c>
      <c r="K16" s="10" t="s">
        <v>36</v>
      </c>
      <c r="L16" s="10" t="s">
        <v>102</v>
      </c>
      <c r="M16" s="9">
        <v>1</v>
      </c>
      <c r="N16" s="10" t="s">
        <v>38</v>
      </c>
      <c r="O16" s="12">
        <v>1600</v>
      </c>
      <c r="P16" s="12">
        <v>1000</v>
      </c>
      <c r="Q16" s="13">
        <f t="shared" si="0"/>
        <v>2600</v>
      </c>
      <c r="R16" s="10"/>
      <c r="S16" s="10"/>
      <c r="T16" s="10" t="s">
        <v>39</v>
      </c>
      <c r="U16" s="10" t="s">
        <v>103</v>
      </c>
      <c r="V16" s="9">
        <v>0.76</v>
      </c>
      <c r="W16" s="9" t="s">
        <v>41</v>
      </c>
      <c r="X16" s="12">
        <v>1600</v>
      </c>
      <c r="Y16" s="12">
        <v>0</v>
      </c>
      <c r="Z16" s="1"/>
    </row>
    <row r="17" spans="1:26">
      <c r="A17" s="9">
        <v>12</v>
      </c>
      <c r="B17" s="10" t="s">
        <v>104</v>
      </c>
      <c r="C17" s="10" t="s">
        <v>105</v>
      </c>
      <c r="D17" s="11">
        <v>45827</v>
      </c>
      <c r="E17" s="10" t="s">
        <v>106</v>
      </c>
      <c r="F17" s="10" t="s">
        <v>31</v>
      </c>
      <c r="G17" s="10" t="s">
        <v>32</v>
      </c>
      <c r="H17" s="9" t="s">
        <v>33</v>
      </c>
      <c r="I17" s="10" t="s">
        <v>107</v>
      </c>
      <c r="J17" s="10" t="s">
        <v>35</v>
      </c>
      <c r="K17" s="10" t="s">
        <v>48</v>
      </c>
      <c r="L17" s="10" t="s">
        <v>108</v>
      </c>
      <c r="M17" s="9">
        <v>1</v>
      </c>
      <c r="N17" s="10" t="s">
        <v>38</v>
      </c>
      <c r="O17" s="12">
        <v>1765</v>
      </c>
      <c r="P17" s="12">
        <v>1000</v>
      </c>
      <c r="Q17" s="13">
        <f t="shared" si="0"/>
        <v>2765</v>
      </c>
      <c r="R17" s="10"/>
      <c r="S17" s="10"/>
      <c r="T17" s="10" t="s">
        <v>39</v>
      </c>
      <c r="U17" s="10" t="s">
        <v>109</v>
      </c>
      <c r="V17" s="9">
        <v>1.3</v>
      </c>
      <c r="W17" s="9" t="s">
        <v>41</v>
      </c>
      <c r="X17" s="12">
        <v>1765</v>
      </c>
      <c r="Y17" s="12">
        <v>0</v>
      </c>
      <c r="Z17" s="1"/>
    </row>
    <row r="18" spans="1:26">
      <c r="A18" s="9">
        <v>13</v>
      </c>
      <c r="B18" s="10" t="s">
        <v>110</v>
      </c>
      <c r="C18" s="10" t="s">
        <v>105</v>
      </c>
      <c r="D18" s="11">
        <v>45827</v>
      </c>
      <c r="E18" s="10" t="s">
        <v>111</v>
      </c>
      <c r="F18" s="10" t="s">
        <v>112</v>
      </c>
      <c r="G18" s="10" t="s">
        <v>32</v>
      </c>
      <c r="H18" s="9" t="s">
        <v>113</v>
      </c>
      <c r="I18" s="10" t="s">
        <v>114</v>
      </c>
      <c r="J18" s="10" t="s">
        <v>115</v>
      </c>
      <c r="K18" s="10" t="s">
        <v>116</v>
      </c>
      <c r="L18" s="10" t="s">
        <v>117</v>
      </c>
      <c r="M18" s="9">
        <v>1</v>
      </c>
      <c r="N18" s="10" t="s">
        <v>38</v>
      </c>
      <c r="O18" s="12">
        <v>3500</v>
      </c>
      <c r="P18" s="12">
        <v>1000</v>
      </c>
      <c r="Q18" s="13">
        <f t="shared" si="0"/>
        <v>4500</v>
      </c>
      <c r="R18" s="10"/>
      <c r="S18" s="10"/>
      <c r="T18" s="10" t="s">
        <v>39</v>
      </c>
      <c r="U18" s="10" t="s">
        <v>109</v>
      </c>
      <c r="V18" s="9">
        <v>0.53</v>
      </c>
      <c r="W18" s="9" t="s">
        <v>41</v>
      </c>
      <c r="X18" s="12">
        <v>3500</v>
      </c>
      <c r="Y18" s="12">
        <v>0</v>
      </c>
      <c r="Z18" s="1"/>
    </row>
    <row r="19" spans="1:26">
      <c r="A19" s="9">
        <v>14</v>
      </c>
      <c r="B19" s="10" t="s">
        <v>118</v>
      </c>
      <c r="C19" s="10" t="s">
        <v>119</v>
      </c>
      <c r="D19" s="11">
        <v>45834</v>
      </c>
      <c r="E19" s="10" t="s">
        <v>66</v>
      </c>
      <c r="F19" s="10" t="s">
        <v>120</v>
      </c>
      <c r="G19" s="10" t="s">
        <v>54</v>
      </c>
      <c r="H19" s="9" t="s">
        <v>121</v>
      </c>
      <c r="I19" s="10" t="s">
        <v>122</v>
      </c>
      <c r="J19" s="10" t="s">
        <v>88</v>
      </c>
      <c r="K19" s="10" t="s">
        <v>77</v>
      </c>
      <c r="L19" s="10" t="s">
        <v>123</v>
      </c>
      <c r="M19" s="9">
        <v>2</v>
      </c>
      <c r="N19" s="10" t="s">
        <v>38</v>
      </c>
      <c r="O19" s="12">
        <v>4200</v>
      </c>
      <c r="P19" s="12">
        <v>1500</v>
      </c>
      <c r="Q19" s="13">
        <f t="shared" si="0"/>
        <v>5700</v>
      </c>
      <c r="R19" s="10"/>
      <c r="S19" s="10"/>
      <c r="T19" s="10" t="s">
        <v>39</v>
      </c>
      <c r="U19" s="10" t="s">
        <v>124</v>
      </c>
      <c r="V19" s="9">
        <v>0.75</v>
      </c>
      <c r="W19" s="9" t="s">
        <v>41</v>
      </c>
      <c r="X19" s="12">
        <v>4200</v>
      </c>
      <c r="Y19" s="12">
        <v>0</v>
      </c>
      <c r="Z19" s="1"/>
    </row>
    <row r="20" spans="1:26">
      <c r="A20" s="9">
        <v>15</v>
      </c>
      <c r="B20" s="10" t="s">
        <v>125</v>
      </c>
      <c r="C20" s="10" t="s">
        <v>126</v>
      </c>
      <c r="D20" s="11">
        <v>45838</v>
      </c>
      <c r="E20" s="10" t="s">
        <v>127</v>
      </c>
      <c r="F20" s="10" t="s">
        <v>67</v>
      </c>
      <c r="G20" s="10" t="s">
        <v>54</v>
      </c>
      <c r="H20" s="9" t="s">
        <v>68</v>
      </c>
      <c r="I20" s="10" t="s">
        <v>128</v>
      </c>
      <c r="J20" s="10" t="s">
        <v>35</v>
      </c>
      <c r="K20" s="10" t="s">
        <v>77</v>
      </c>
      <c r="L20" s="10" t="s">
        <v>129</v>
      </c>
      <c r="M20" s="9">
        <v>1</v>
      </c>
      <c r="N20" s="10" t="s">
        <v>38</v>
      </c>
      <c r="O20" s="12">
        <v>4625</v>
      </c>
      <c r="P20" s="12">
        <v>1000</v>
      </c>
      <c r="Q20" s="13">
        <f t="shared" si="0"/>
        <v>5625</v>
      </c>
      <c r="R20" s="10"/>
      <c r="S20" s="10"/>
      <c r="T20" s="10" t="s">
        <v>60</v>
      </c>
      <c r="U20" s="10"/>
      <c r="V20" s="9">
        <v>0</v>
      </c>
      <c r="W20" s="9" t="s">
        <v>41</v>
      </c>
      <c r="X20" s="12">
        <v>4625</v>
      </c>
      <c r="Y20" s="12">
        <v>0</v>
      </c>
      <c r="Z20" s="1"/>
    </row>
    <row r="21" spans="1:26">
      <c r="A21" s="9">
        <v>16</v>
      </c>
      <c r="B21" s="10" t="s">
        <v>130</v>
      </c>
      <c r="C21" s="10" t="s">
        <v>131</v>
      </c>
      <c r="D21" s="11">
        <v>45855</v>
      </c>
      <c r="E21" s="10" t="s">
        <v>132</v>
      </c>
      <c r="F21" s="10" t="s">
        <v>67</v>
      </c>
      <c r="G21" s="10" t="s">
        <v>54</v>
      </c>
      <c r="H21" s="9" t="s">
        <v>68</v>
      </c>
      <c r="I21" s="10" t="s">
        <v>133</v>
      </c>
      <c r="J21" s="10" t="s">
        <v>35</v>
      </c>
      <c r="K21" s="10" t="s">
        <v>134</v>
      </c>
      <c r="L21" s="10" t="s">
        <v>135</v>
      </c>
      <c r="M21" s="9">
        <v>5</v>
      </c>
      <c r="N21" s="10" t="s">
        <v>83</v>
      </c>
      <c r="O21" s="12">
        <v>26100</v>
      </c>
      <c r="P21" s="12">
        <v>2000</v>
      </c>
      <c r="Q21" s="13">
        <f t="shared" si="0"/>
        <v>28100</v>
      </c>
      <c r="R21" s="10"/>
      <c r="S21" s="10"/>
      <c r="T21" s="10" t="s">
        <v>136</v>
      </c>
      <c r="U21" s="10" t="s">
        <v>137</v>
      </c>
      <c r="V21" s="9">
        <v>1.46</v>
      </c>
      <c r="W21" s="9" t="s">
        <v>41</v>
      </c>
      <c r="X21" s="12">
        <v>26100</v>
      </c>
      <c r="Y21" s="12">
        <v>0</v>
      </c>
      <c r="Z21" s="1"/>
    </row>
    <row r="22" spans="1:26">
      <c r="A22" s="9">
        <v>17</v>
      </c>
      <c r="B22" s="10" t="s">
        <v>138</v>
      </c>
      <c r="C22" s="10" t="s">
        <v>139</v>
      </c>
      <c r="D22" s="11">
        <v>45879</v>
      </c>
      <c r="E22" s="10" t="s">
        <v>140</v>
      </c>
      <c r="F22" s="10" t="s">
        <v>53</v>
      </c>
      <c r="G22" s="10" t="s">
        <v>54</v>
      </c>
      <c r="H22" s="9" t="s">
        <v>141</v>
      </c>
      <c r="I22" s="10" t="s">
        <v>142</v>
      </c>
      <c r="J22" s="10" t="s">
        <v>57</v>
      </c>
      <c r="K22" s="10" t="s">
        <v>48</v>
      </c>
      <c r="L22" s="10" t="s">
        <v>143</v>
      </c>
      <c r="M22" s="9">
        <v>1</v>
      </c>
      <c r="N22" s="10" t="s">
        <v>38</v>
      </c>
      <c r="O22" s="12">
        <v>9500</v>
      </c>
      <c r="P22" s="12">
        <v>2000</v>
      </c>
      <c r="Q22" s="13">
        <f t="shared" si="0"/>
        <v>11500</v>
      </c>
      <c r="R22" s="10"/>
      <c r="S22" s="10"/>
      <c r="T22" s="10" t="s">
        <v>60</v>
      </c>
      <c r="U22" s="10" t="s">
        <v>144</v>
      </c>
      <c r="V22" s="9">
        <v>0.64</v>
      </c>
      <c r="W22" s="9" t="s">
        <v>41</v>
      </c>
      <c r="X22" s="12">
        <v>9500</v>
      </c>
      <c r="Y22" s="12">
        <v>0</v>
      </c>
      <c r="Z22" s="1"/>
    </row>
    <row r="23" spans="1:26">
      <c r="A23" s="9">
        <v>18</v>
      </c>
      <c r="B23" s="10" t="s">
        <v>145</v>
      </c>
      <c r="C23" s="10" t="s">
        <v>146</v>
      </c>
      <c r="D23" s="11">
        <v>45895</v>
      </c>
      <c r="E23" s="10" t="s">
        <v>147</v>
      </c>
      <c r="F23" s="10" t="s">
        <v>67</v>
      </c>
      <c r="G23" s="10" t="s">
        <v>54</v>
      </c>
      <c r="H23" s="9" t="s">
        <v>68</v>
      </c>
      <c r="I23" s="10" t="s">
        <v>133</v>
      </c>
      <c r="J23" s="10" t="s">
        <v>35</v>
      </c>
      <c r="K23" s="10" t="s">
        <v>77</v>
      </c>
      <c r="L23" s="10" t="s">
        <v>129</v>
      </c>
      <c r="M23" s="9">
        <v>1</v>
      </c>
      <c r="N23" s="10" t="s">
        <v>38</v>
      </c>
      <c r="O23" s="12">
        <v>4625</v>
      </c>
      <c r="P23" s="12">
        <v>1000</v>
      </c>
      <c r="Q23" s="13">
        <f t="shared" si="0"/>
        <v>5625</v>
      </c>
      <c r="R23" s="10"/>
      <c r="S23" s="10"/>
      <c r="T23" s="10" t="s">
        <v>60</v>
      </c>
      <c r="U23" s="10" t="s">
        <v>148</v>
      </c>
      <c r="V23" s="9">
        <v>0</v>
      </c>
      <c r="W23" s="9" t="s">
        <v>41</v>
      </c>
      <c r="X23" s="12">
        <v>4625</v>
      </c>
      <c r="Y23" s="12">
        <v>0</v>
      </c>
      <c r="Z23" s="1"/>
    </row>
    <row r="24" spans="1:26">
      <c r="A24" s="9">
        <v>19</v>
      </c>
      <c r="B24" s="10" t="s">
        <v>149</v>
      </c>
      <c r="C24" s="10" t="s">
        <v>146</v>
      </c>
      <c r="D24" s="11">
        <v>45897</v>
      </c>
      <c r="E24" s="10" t="s">
        <v>150</v>
      </c>
      <c r="F24" s="10" t="s">
        <v>31</v>
      </c>
      <c r="G24" s="10" t="s">
        <v>32</v>
      </c>
      <c r="H24" s="9" t="s">
        <v>151</v>
      </c>
      <c r="I24" s="10" t="s">
        <v>152</v>
      </c>
      <c r="J24" s="10" t="s">
        <v>35</v>
      </c>
      <c r="K24" s="10" t="s">
        <v>48</v>
      </c>
      <c r="L24" s="10" t="s">
        <v>153</v>
      </c>
      <c r="M24" s="9">
        <v>4</v>
      </c>
      <c r="N24" s="10" t="s">
        <v>38</v>
      </c>
      <c r="O24" s="12">
        <v>19430</v>
      </c>
      <c r="P24" s="12">
        <v>1000</v>
      </c>
      <c r="Q24" s="13">
        <f t="shared" si="0"/>
        <v>20430</v>
      </c>
      <c r="R24" s="10"/>
      <c r="S24" s="10"/>
      <c r="T24" s="10" t="s">
        <v>60</v>
      </c>
      <c r="U24" s="10" t="s">
        <v>154</v>
      </c>
      <c r="V24" s="9">
        <v>0</v>
      </c>
      <c r="W24" s="9" t="s">
        <v>41</v>
      </c>
      <c r="X24" s="12">
        <v>19430</v>
      </c>
      <c r="Y24" s="12">
        <v>0</v>
      </c>
      <c r="Z24" s="1"/>
    </row>
    <row r="25" spans="1:26">
      <c r="A25" s="9">
        <v>20</v>
      </c>
      <c r="B25" s="10" t="s">
        <v>155</v>
      </c>
      <c r="C25" s="10" t="s">
        <v>156</v>
      </c>
      <c r="D25" s="11">
        <v>45915</v>
      </c>
      <c r="E25" s="10" t="s">
        <v>157</v>
      </c>
      <c r="F25" s="10" t="s">
        <v>44</v>
      </c>
      <c r="G25" s="10" t="s">
        <v>32</v>
      </c>
      <c r="H25" s="9" t="s">
        <v>45</v>
      </c>
      <c r="I25" s="10" t="s">
        <v>158</v>
      </c>
      <c r="J25" s="10" t="s">
        <v>47</v>
      </c>
      <c r="K25" s="10" t="s">
        <v>159</v>
      </c>
      <c r="L25" s="10" t="s">
        <v>160</v>
      </c>
      <c r="M25" s="9">
        <v>2</v>
      </c>
      <c r="N25" s="10" t="s">
        <v>38</v>
      </c>
      <c r="O25" s="12">
        <v>8580</v>
      </c>
      <c r="P25" s="12">
        <v>1000</v>
      </c>
      <c r="Q25" s="13">
        <f t="shared" si="0"/>
        <v>9580</v>
      </c>
      <c r="R25" s="10"/>
      <c r="S25" s="10"/>
      <c r="T25" s="10" t="s">
        <v>60</v>
      </c>
      <c r="U25" s="10" t="s">
        <v>161</v>
      </c>
      <c r="V25" s="9">
        <v>0</v>
      </c>
      <c r="W25" s="9" t="s">
        <v>41</v>
      </c>
      <c r="X25" s="12">
        <v>0</v>
      </c>
      <c r="Y25" s="12">
        <v>8580</v>
      </c>
      <c r="Z25" s="1"/>
    </row>
    <row r="26" spans="1:26">
      <c r="A26" s="9">
        <v>21</v>
      </c>
      <c r="B26" s="10" t="s">
        <v>162</v>
      </c>
      <c r="C26" s="10" t="s">
        <v>163</v>
      </c>
      <c r="D26" s="11">
        <v>45923</v>
      </c>
      <c r="E26" s="10" t="s">
        <v>164</v>
      </c>
      <c r="F26" s="10" t="s">
        <v>44</v>
      </c>
      <c r="G26" s="10" t="s">
        <v>32</v>
      </c>
      <c r="H26" s="9" t="s">
        <v>45</v>
      </c>
      <c r="I26" s="10" t="s">
        <v>158</v>
      </c>
      <c r="J26" s="10" t="s">
        <v>47</v>
      </c>
      <c r="K26" s="10" t="s">
        <v>159</v>
      </c>
      <c r="L26" s="10" t="s">
        <v>165</v>
      </c>
      <c r="M26" s="9">
        <v>1</v>
      </c>
      <c r="N26" s="10" t="s">
        <v>38</v>
      </c>
      <c r="O26" s="12">
        <v>1150</v>
      </c>
      <c r="P26" s="12">
        <v>1000</v>
      </c>
      <c r="Q26" s="13">
        <f t="shared" si="0"/>
        <v>2150</v>
      </c>
      <c r="R26" s="10"/>
      <c r="S26" s="10"/>
      <c r="T26" s="10" t="s">
        <v>136</v>
      </c>
      <c r="U26" s="10" t="s">
        <v>166</v>
      </c>
      <c r="V26" s="9">
        <v>0</v>
      </c>
      <c r="W26" s="9" t="s">
        <v>41</v>
      </c>
      <c r="X26" s="12">
        <v>1150</v>
      </c>
      <c r="Y26" s="12">
        <v>0</v>
      </c>
      <c r="Z26" s="1"/>
    </row>
    <row r="27" spans="1:26">
      <c r="A27" s="9">
        <v>22</v>
      </c>
      <c r="B27" s="10" t="s">
        <v>167</v>
      </c>
      <c r="C27" s="10" t="s">
        <v>168</v>
      </c>
      <c r="D27" s="11">
        <v>45930</v>
      </c>
      <c r="E27" s="10" t="s">
        <v>169</v>
      </c>
      <c r="F27" s="10" t="s">
        <v>170</v>
      </c>
      <c r="G27" s="10" t="s">
        <v>32</v>
      </c>
      <c r="H27" s="9" t="s">
        <v>171</v>
      </c>
      <c r="I27" s="10" t="s">
        <v>172</v>
      </c>
      <c r="J27" s="10" t="s">
        <v>173</v>
      </c>
      <c r="K27" s="10" t="s">
        <v>77</v>
      </c>
      <c r="L27" s="10" t="s">
        <v>174</v>
      </c>
      <c r="M27" s="9">
        <v>1</v>
      </c>
      <c r="N27" s="10" t="s">
        <v>83</v>
      </c>
      <c r="O27" s="12">
        <v>2125</v>
      </c>
      <c r="P27" s="12">
        <v>2000</v>
      </c>
      <c r="Q27" s="13">
        <f t="shared" si="0"/>
        <v>4125</v>
      </c>
      <c r="R27" s="10"/>
      <c r="S27" s="10"/>
      <c r="T27" s="10" t="s">
        <v>136</v>
      </c>
      <c r="U27" s="10" t="s">
        <v>175</v>
      </c>
      <c r="V27" s="9">
        <v>0</v>
      </c>
      <c r="W27" s="9" t="s">
        <v>41</v>
      </c>
      <c r="X27" s="12">
        <v>2125</v>
      </c>
      <c r="Y27" s="12">
        <v>0</v>
      </c>
      <c r="Z27" s="1"/>
    </row>
    <row r="28" spans="1:26">
      <c r="A28" s="9">
        <v>23</v>
      </c>
      <c r="B28" s="10" t="s">
        <v>176</v>
      </c>
      <c r="C28" s="10" t="s">
        <v>168</v>
      </c>
      <c r="D28" s="11">
        <v>45934</v>
      </c>
      <c r="E28" s="10"/>
      <c r="F28" s="10" t="s">
        <v>67</v>
      </c>
      <c r="G28" s="10" t="s">
        <v>54</v>
      </c>
      <c r="H28" s="9" t="s">
        <v>68</v>
      </c>
      <c r="I28" s="10" t="s">
        <v>177</v>
      </c>
      <c r="J28" s="10" t="s">
        <v>178</v>
      </c>
      <c r="K28" s="10" t="s">
        <v>179</v>
      </c>
      <c r="L28" s="10" t="s">
        <v>70</v>
      </c>
      <c r="M28" s="9">
        <v>1</v>
      </c>
      <c r="N28" s="10" t="s">
        <v>83</v>
      </c>
      <c r="O28" s="12">
        <v>2750</v>
      </c>
      <c r="P28" s="12">
        <v>1500</v>
      </c>
      <c r="Q28" s="13">
        <f t="shared" si="0"/>
        <v>4250</v>
      </c>
      <c r="R28" s="10"/>
      <c r="S28" s="10"/>
      <c r="T28" s="10" t="s">
        <v>60</v>
      </c>
      <c r="U28" s="10" t="s">
        <v>180</v>
      </c>
      <c r="V28" s="9">
        <v>1</v>
      </c>
      <c r="W28" s="9" t="s">
        <v>41</v>
      </c>
      <c r="X28" s="12">
        <v>2750</v>
      </c>
      <c r="Y28" s="12">
        <v>0</v>
      </c>
      <c r="Z28" s="1"/>
    </row>
    <row r="29" spans="1:26">
      <c r="A29" s="9">
        <v>24</v>
      </c>
      <c r="B29" s="10" t="s">
        <v>181</v>
      </c>
      <c r="C29" s="10" t="s">
        <v>182</v>
      </c>
      <c r="D29" s="11">
        <v>45952</v>
      </c>
      <c r="E29" s="10" t="s">
        <v>183</v>
      </c>
      <c r="F29" s="10" t="s">
        <v>184</v>
      </c>
      <c r="G29" s="10" t="s">
        <v>32</v>
      </c>
      <c r="H29" s="9" t="s">
        <v>185</v>
      </c>
      <c r="I29" s="10" t="s">
        <v>186</v>
      </c>
      <c r="J29" s="10" t="s">
        <v>187</v>
      </c>
      <c r="K29" s="10" t="s">
        <v>188</v>
      </c>
      <c r="L29" s="10" t="s">
        <v>70</v>
      </c>
      <c r="M29" s="9">
        <v>1</v>
      </c>
      <c r="N29" s="10" t="s">
        <v>83</v>
      </c>
      <c r="O29" s="12">
        <v>2750</v>
      </c>
      <c r="P29" s="12">
        <v>5000</v>
      </c>
      <c r="Q29" s="13">
        <f t="shared" si="0"/>
        <v>7750</v>
      </c>
      <c r="R29" s="10"/>
      <c r="S29" s="10"/>
      <c r="T29" s="10" t="s">
        <v>60</v>
      </c>
      <c r="U29" s="10" t="s">
        <v>189</v>
      </c>
      <c r="V29" s="9">
        <v>1.66</v>
      </c>
      <c r="W29" s="9" t="s">
        <v>41</v>
      </c>
      <c r="X29" s="12">
        <v>2750</v>
      </c>
      <c r="Y29" s="12">
        <v>0</v>
      </c>
      <c r="Z29" s="1"/>
    </row>
    <row r="30" spans="1:26">
      <c r="A30" s="9">
        <v>25</v>
      </c>
      <c r="B30" s="10" t="s">
        <v>190</v>
      </c>
      <c r="C30" s="10" t="s">
        <v>182</v>
      </c>
      <c r="D30" s="11">
        <v>45955</v>
      </c>
      <c r="E30" s="10" t="s">
        <v>191</v>
      </c>
      <c r="F30" s="10" t="s">
        <v>192</v>
      </c>
      <c r="G30" s="10" t="s">
        <v>32</v>
      </c>
      <c r="H30" s="9" t="s">
        <v>193</v>
      </c>
      <c r="I30" s="10" t="s">
        <v>194</v>
      </c>
      <c r="J30" s="10" t="s">
        <v>47</v>
      </c>
      <c r="K30" s="10" t="s">
        <v>195</v>
      </c>
      <c r="L30" s="10" t="s">
        <v>196</v>
      </c>
      <c r="M30" s="9">
        <v>3</v>
      </c>
      <c r="N30" s="10" t="s">
        <v>83</v>
      </c>
      <c r="O30" s="12">
        <v>11625</v>
      </c>
      <c r="P30" s="12">
        <v>1000</v>
      </c>
      <c r="Q30" s="13">
        <f t="shared" si="0"/>
        <v>12625</v>
      </c>
      <c r="R30" s="10"/>
      <c r="S30" s="10"/>
      <c r="T30" s="10" t="s">
        <v>197</v>
      </c>
      <c r="U30" s="10" t="s">
        <v>198</v>
      </c>
      <c r="V30" s="9">
        <v>0.89</v>
      </c>
      <c r="W30" s="9" t="s">
        <v>41</v>
      </c>
      <c r="X30" s="12">
        <v>11625</v>
      </c>
      <c r="Y30" s="12">
        <v>0</v>
      </c>
      <c r="Z30" s="1"/>
    </row>
    <row r="31" spans="1:26">
      <c r="A31" s="9">
        <v>26</v>
      </c>
      <c r="B31" s="10" t="s">
        <v>199</v>
      </c>
      <c r="C31" s="10" t="s">
        <v>200</v>
      </c>
      <c r="D31" s="11">
        <v>45960</v>
      </c>
      <c r="E31" s="10"/>
      <c r="F31" s="10" t="s">
        <v>201</v>
      </c>
      <c r="G31" s="10" t="s">
        <v>32</v>
      </c>
      <c r="H31" s="9" t="s">
        <v>202</v>
      </c>
      <c r="I31" s="10" t="s">
        <v>203</v>
      </c>
      <c r="J31" s="10" t="s">
        <v>47</v>
      </c>
      <c r="K31" s="10" t="s">
        <v>195</v>
      </c>
      <c r="L31" s="10" t="s">
        <v>204</v>
      </c>
      <c r="M31" s="9">
        <v>1</v>
      </c>
      <c r="N31" s="10" t="s">
        <v>38</v>
      </c>
      <c r="O31" s="12">
        <v>1425</v>
      </c>
      <c r="P31" s="12">
        <v>1000</v>
      </c>
      <c r="Q31" s="13">
        <f t="shared" si="0"/>
        <v>2425</v>
      </c>
      <c r="R31" s="10"/>
      <c r="S31" s="10"/>
      <c r="T31" s="10" t="s">
        <v>197</v>
      </c>
      <c r="U31" s="10" t="s">
        <v>205</v>
      </c>
      <c r="V31" s="9">
        <v>0.89</v>
      </c>
      <c r="W31" s="9" t="s">
        <v>41</v>
      </c>
      <c r="X31" s="12">
        <v>1425</v>
      </c>
      <c r="Y31" s="12">
        <v>0</v>
      </c>
      <c r="Z31" s="1"/>
    </row>
    <row r="32" spans="1:26">
      <c r="A32" s="9">
        <v>27</v>
      </c>
      <c r="B32" s="10" t="s">
        <v>206</v>
      </c>
      <c r="C32" s="10" t="s">
        <v>207</v>
      </c>
      <c r="D32" s="11">
        <v>45972</v>
      </c>
      <c r="E32" s="10"/>
      <c r="F32" s="10" t="s">
        <v>44</v>
      </c>
      <c r="G32" s="10" t="s">
        <v>32</v>
      </c>
      <c r="H32" s="9" t="s">
        <v>45</v>
      </c>
      <c r="I32" s="10" t="s">
        <v>208</v>
      </c>
      <c r="J32" s="10" t="s">
        <v>47</v>
      </c>
      <c r="K32" s="10" t="s">
        <v>77</v>
      </c>
      <c r="L32" s="10" t="s">
        <v>209</v>
      </c>
      <c r="M32" s="9">
        <v>4</v>
      </c>
      <c r="N32" s="10" t="s">
        <v>38</v>
      </c>
      <c r="O32" s="12">
        <v>3400</v>
      </c>
      <c r="P32" s="12">
        <v>1000</v>
      </c>
      <c r="Q32" s="13">
        <f t="shared" si="0"/>
        <v>4400</v>
      </c>
      <c r="R32" s="10"/>
      <c r="S32" s="10"/>
      <c r="T32" s="10" t="s">
        <v>60</v>
      </c>
      <c r="U32" s="10" t="s">
        <v>210</v>
      </c>
      <c r="V32" s="9">
        <v>0.5</v>
      </c>
      <c r="W32" s="9" t="s">
        <v>41</v>
      </c>
      <c r="X32" s="12">
        <v>3400</v>
      </c>
      <c r="Y32" s="12">
        <v>0</v>
      </c>
      <c r="Z32" s="1"/>
    </row>
    <row r="33" spans="1:26">
      <c r="A33" s="9">
        <v>28</v>
      </c>
      <c r="B33" s="10" t="s">
        <v>211</v>
      </c>
      <c r="C33" s="10" t="s">
        <v>212</v>
      </c>
      <c r="D33" s="11">
        <v>45982</v>
      </c>
      <c r="E33" s="10"/>
      <c r="F33" s="10" t="s">
        <v>184</v>
      </c>
      <c r="G33" s="10" t="s">
        <v>32</v>
      </c>
      <c r="H33" s="9" t="s">
        <v>185</v>
      </c>
      <c r="I33" s="10" t="s">
        <v>186</v>
      </c>
      <c r="J33" s="10" t="s">
        <v>187</v>
      </c>
      <c r="K33" s="10" t="s">
        <v>179</v>
      </c>
      <c r="L33" s="10" t="s">
        <v>70</v>
      </c>
      <c r="M33" s="9">
        <v>1</v>
      </c>
      <c r="N33" s="10" t="s">
        <v>83</v>
      </c>
      <c r="O33" s="12">
        <v>2450</v>
      </c>
      <c r="P33" s="12">
        <v>2500</v>
      </c>
      <c r="Q33" s="13">
        <f t="shared" si="0"/>
        <v>4950</v>
      </c>
      <c r="R33" s="10"/>
      <c r="S33" s="10"/>
      <c r="T33" s="10" t="s">
        <v>136</v>
      </c>
      <c r="U33" s="10" t="s">
        <v>213</v>
      </c>
      <c r="V33" s="9">
        <v>5.75</v>
      </c>
      <c r="W33" s="9" t="s">
        <v>41</v>
      </c>
      <c r="X33" s="12">
        <v>2450</v>
      </c>
      <c r="Y33" s="12">
        <v>0</v>
      </c>
      <c r="Z33" s="1"/>
    </row>
    <row r="34" spans="1:26">
      <c r="A34" s="9">
        <v>29</v>
      </c>
      <c r="B34" s="10" t="s">
        <v>214</v>
      </c>
      <c r="C34" s="10" t="s">
        <v>215</v>
      </c>
      <c r="D34" s="11">
        <v>45989</v>
      </c>
      <c r="E34" s="10"/>
      <c r="F34" s="10" t="s">
        <v>192</v>
      </c>
      <c r="G34" s="10" t="s">
        <v>32</v>
      </c>
      <c r="H34" s="9" t="s">
        <v>193</v>
      </c>
      <c r="I34" s="10" t="s">
        <v>216</v>
      </c>
      <c r="J34" s="10" t="s">
        <v>47</v>
      </c>
      <c r="K34" s="10" t="s">
        <v>77</v>
      </c>
      <c r="L34" s="10" t="s">
        <v>217</v>
      </c>
      <c r="M34" s="9">
        <v>1</v>
      </c>
      <c r="N34" s="10" t="s">
        <v>38</v>
      </c>
      <c r="O34" s="12">
        <v>3465</v>
      </c>
      <c r="P34" s="12">
        <v>1000</v>
      </c>
      <c r="Q34" s="13">
        <f t="shared" si="0"/>
        <v>4465</v>
      </c>
      <c r="R34" s="10"/>
      <c r="S34" s="10"/>
      <c r="T34" s="10" t="s">
        <v>39</v>
      </c>
      <c r="U34" s="10" t="s">
        <v>218</v>
      </c>
      <c r="V34" s="9">
        <v>0.4</v>
      </c>
      <c r="W34" s="9" t="s">
        <v>41</v>
      </c>
      <c r="X34" s="12">
        <v>3465</v>
      </c>
      <c r="Y34" s="12">
        <v>0</v>
      </c>
      <c r="Z34" s="1"/>
    </row>
    <row r="35" spans="1:26">
      <c r="A35" s="14">
        <v>30</v>
      </c>
      <c r="B35" s="15" t="s">
        <v>219</v>
      </c>
      <c r="C35" s="15" t="s">
        <v>220</v>
      </c>
      <c r="D35" s="16">
        <v>45998</v>
      </c>
      <c r="E35" s="15"/>
      <c r="F35" s="15" t="s">
        <v>192</v>
      </c>
      <c r="G35" s="10" t="s">
        <v>32</v>
      </c>
      <c r="H35" s="14" t="s">
        <v>193</v>
      </c>
      <c r="I35" s="15" t="s">
        <v>216</v>
      </c>
      <c r="J35" s="15" t="s">
        <v>47</v>
      </c>
      <c r="K35" s="15" t="s">
        <v>77</v>
      </c>
      <c r="L35" s="15" t="s">
        <v>217</v>
      </c>
      <c r="M35" s="14">
        <v>1</v>
      </c>
      <c r="N35" s="15" t="s">
        <v>38</v>
      </c>
      <c r="O35" s="17">
        <v>3465</v>
      </c>
      <c r="P35" s="17">
        <v>1000</v>
      </c>
      <c r="Q35" s="13">
        <f t="shared" si="0"/>
        <v>4465</v>
      </c>
      <c r="R35" s="15"/>
      <c r="S35" s="15"/>
      <c r="T35" s="15" t="s">
        <v>39</v>
      </c>
      <c r="U35" s="15" t="s">
        <v>221</v>
      </c>
      <c r="V35" s="14">
        <v>0.45</v>
      </c>
      <c r="W35" s="14" t="s">
        <v>41</v>
      </c>
      <c r="X35" s="17">
        <v>3465</v>
      </c>
      <c r="Y35" s="17">
        <v>0</v>
      </c>
      <c r="Z35" s="1"/>
    </row>
    <row r="36" spans="1:26" ht="24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20"/>
      <c r="Z36" s="1"/>
    </row>
    <row r="37" spans="1:26" ht="24">
      <c r="A37" s="145" t="s">
        <v>222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spans="1:26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3"/>
      <c r="Z38" s="1"/>
    </row>
    <row r="39" spans="1:26">
      <c r="A39" s="24">
        <v>1</v>
      </c>
      <c r="B39" s="25" t="s">
        <v>223</v>
      </c>
      <c r="C39" s="25" t="s">
        <v>29</v>
      </c>
      <c r="D39" s="26">
        <v>46108</v>
      </c>
      <c r="E39" s="25"/>
      <c r="F39" s="25" t="s">
        <v>224</v>
      </c>
      <c r="G39" s="25" t="s">
        <v>32</v>
      </c>
      <c r="H39" s="24" t="s">
        <v>225</v>
      </c>
      <c r="I39" s="25" t="s">
        <v>226</v>
      </c>
      <c r="J39" s="25" t="s">
        <v>47</v>
      </c>
      <c r="K39" s="25" t="s">
        <v>77</v>
      </c>
      <c r="L39" s="25" t="s">
        <v>227</v>
      </c>
      <c r="M39" s="24">
        <v>1</v>
      </c>
      <c r="N39" s="25" t="s">
        <v>83</v>
      </c>
      <c r="O39" s="27">
        <v>7250</v>
      </c>
      <c r="P39" s="27">
        <v>1000</v>
      </c>
      <c r="Q39" s="28">
        <f t="shared" ref="Q39:Q47" si="1">O39+P39</f>
        <v>8250</v>
      </c>
      <c r="R39" s="29"/>
      <c r="S39" s="30"/>
      <c r="T39" s="29"/>
      <c r="U39" s="29"/>
      <c r="V39" s="31"/>
      <c r="W39" s="9" t="s">
        <v>41</v>
      </c>
      <c r="X39" s="32">
        <v>0</v>
      </c>
      <c r="Y39" s="32">
        <v>7250</v>
      </c>
      <c r="Z39" s="33"/>
    </row>
    <row r="40" spans="1:26">
      <c r="A40" s="9">
        <v>2</v>
      </c>
      <c r="B40" s="10" t="s">
        <v>228</v>
      </c>
      <c r="C40" s="10" t="s">
        <v>85</v>
      </c>
      <c r="D40" s="11">
        <v>46127</v>
      </c>
      <c r="E40" s="10"/>
      <c r="F40" s="10" t="s">
        <v>44</v>
      </c>
      <c r="G40" s="10" t="s">
        <v>32</v>
      </c>
      <c r="H40" s="9" t="s">
        <v>45</v>
      </c>
      <c r="I40" s="10" t="s">
        <v>229</v>
      </c>
      <c r="J40" s="10" t="s">
        <v>47</v>
      </c>
      <c r="K40" s="10" t="s">
        <v>58</v>
      </c>
      <c r="L40" s="10" t="s">
        <v>230</v>
      </c>
      <c r="M40" s="9">
        <v>3</v>
      </c>
      <c r="N40" s="10" t="s">
        <v>38</v>
      </c>
      <c r="O40" s="12">
        <v>12025</v>
      </c>
      <c r="P40" s="12">
        <v>1000</v>
      </c>
      <c r="Q40" s="13">
        <f t="shared" si="1"/>
        <v>13025</v>
      </c>
      <c r="R40" s="34"/>
      <c r="S40" s="35"/>
      <c r="T40" s="36"/>
      <c r="U40" s="36"/>
      <c r="V40" s="37"/>
      <c r="W40" s="9" t="s">
        <v>41</v>
      </c>
      <c r="X40" s="38">
        <v>12025</v>
      </c>
      <c r="Y40" s="38">
        <v>0</v>
      </c>
      <c r="Z40" s="33"/>
    </row>
    <row r="41" spans="1:26">
      <c r="A41" s="24">
        <v>3</v>
      </c>
      <c r="B41" s="25" t="s">
        <v>231</v>
      </c>
      <c r="C41" s="25" t="s">
        <v>119</v>
      </c>
      <c r="D41" s="26">
        <v>46149</v>
      </c>
      <c r="E41" s="25"/>
      <c r="F41" s="25" t="s">
        <v>232</v>
      </c>
      <c r="G41" s="25" t="s">
        <v>32</v>
      </c>
      <c r="H41" s="24" t="s">
        <v>233</v>
      </c>
      <c r="I41" s="25" t="s">
        <v>234</v>
      </c>
      <c r="J41" s="25" t="s">
        <v>235</v>
      </c>
      <c r="K41" s="25" t="s">
        <v>58</v>
      </c>
      <c r="L41" s="25" t="s">
        <v>236</v>
      </c>
      <c r="M41" s="24">
        <v>2</v>
      </c>
      <c r="N41" s="25" t="s">
        <v>38</v>
      </c>
      <c r="O41" s="27">
        <v>15000</v>
      </c>
      <c r="P41" s="27">
        <v>1000</v>
      </c>
      <c r="Q41" s="28">
        <f t="shared" si="1"/>
        <v>16000</v>
      </c>
      <c r="R41" s="39"/>
      <c r="S41" s="30"/>
      <c r="T41" s="29"/>
      <c r="U41" s="29"/>
      <c r="V41" s="31"/>
      <c r="W41" s="9" t="s">
        <v>41</v>
      </c>
      <c r="X41" s="32">
        <v>15000</v>
      </c>
      <c r="Y41" s="32">
        <v>0</v>
      </c>
      <c r="Z41" s="33"/>
    </row>
    <row r="42" spans="1:26">
      <c r="A42" s="9">
        <v>4</v>
      </c>
      <c r="B42" s="10" t="s">
        <v>237</v>
      </c>
      <c r="C42" s="10" t="s">
        <v>126</v>
      </c>
      <c r="D42" s="11">
        <v>46153</v>
      </c>
      <c r="E42" s="10"/>
      <c r="F42" s="10" t="s">
        <v>238</v>
      </c>
      <c r="G42" s="10" t="s">
        <v>32</v>
      </c>
      <c r="H42" s="9" t="s">
        <v>239</v>
      </c>
      <c r="I42" s="10" t="s">
        <v>240</v>
      </c>
      <c r="J42" s="10" t="s">
        <v>47</v>
      </c>
      <c r="K42" s="10" t="s">
        <v>58</v>
      </c>
      <c r="L42" s="10" t="s">
        <v>241</v>
      </c>
      <c r="M42" s="9">
        <v>2</v>
      </c>
      <c r="N42" s="10" t="s">
        <v>38</v>
      </c>
      <c r="O42" s="12">
        <v>18600</v>
      </c>
      <c r="P42" s="12">
        <v>1000</v>
      </c>
      <c r="Q42" s="13">
        <f t="shared" si="1"/>
        <v>19600</v>
      </c>
      <c r="R42" s="34"/>
      <c r="S42" s="35"/>
      <c r="T42" s="36"/>
      <c r="U42" s="36"/>
      <c r="V42" s="37"/>
      <c r="W42" s="9" t="s">
        <v>41</v>
      </c>
      <c r="X42" s="38">
        <v>18600</v>
      </c>
      <c r="Y42" s="38">
        <v>0</v>
      </c>
      <c r="Z42" s="33"/>
    </row>
    <row r="43" spans="1:26">
      <c r="A43" s="24">
        <v>5</v>
      </c>
      <c r="B43" s="25" t="s">
        <v>242</v>
      </c>
      <c r="C43" s="25" t="s">
        <v>126</v>
      </c>
      <c r="D43" s="26">
        <v>46153</v>
      </c>
      <c r="E43" s="25"/>
      <c r="F43" s="25" t="s">
        <v>243</v>
      </c>
      <c r="G43" s="25" t="s">
        <v>32</v>
      </c>
      <c r="H43" s="24" t="s">
        <v>193</v>
      </c>
      <c r="I43" s="25" t="s">
        <v>244</v>
      </c>
      <c r="J43" s="25" t="s">
        <v>35</v>
      </c>
      <c r="K43" s="25" t="s">
        <v>58</v>
      </c>
      <c r="L43" s="25" t="s">
        <v>245</v>
      </c>
      <c r="M43" s="24">
        <v>1</v>
      </c>
      <c r="N43" s="25" t="s">
        <v>38</v>
      </c>
      <c r="O43" s="27">
        <v>4550</v>
      </c>
      <c r="P43" s="27">
        <v>1000</v>
      </c>
      <c r="Q43" s="28">
        <f t="shared" si="1"/>
        <v>5550</v>
      </c>
      <c r="R43" s="39"/>
      <c r="S43" s="30"/>
      <c r="T43" s="29"/>
      <c r="U43" s="29"/>
      <c r="V43" s="31"/>
      <c r="W43" s="9" t="s">
        <v>41</v>
      </c>
      <c r="X43" s="32">
        <v>4550</v>
      </c>
      <c r="Y43" s="32">
        <v>0</v>
      </c>
      <c r="Z43" s="33"/>
    </row>
    <row r="44" spans="1:26">
      <c r="A44" s="9">
        <v>6</v>
      </c>
      <c r="B44" s="10" t="s">
        <v>246</v>
      </c>
      <c r="C44" s="10" t="s">
        <v>126</v>
      </c>
      <c r="D44" s="11">
        <v>46155</v>
      </c>
      <c r="E44" s="10"/>
      <c r="F44" s="10" t="s">
        <v>243</v>
      </c>
      <c r="G44" s="10" t="s">
        <v>32</v>
      </c>
      <c r="H44" s="9" t="s">
        <v>247</v>
      </c>
      <c r="I44" s="10" t="s">
        <v>244</v>
      </c>
      <c r="J44" s="10" t="s">
        <v>35</v>
      </c>
      <c r="K44" s="10" t="s">
        <v>58</v>
      </c>
      <c r="L44" s="10" t="s">
        <v>248</v>
      </c>
      <c r="M44" s="9">
        <v>3</v>
      </c>
      <c r="N44" s="10" t="s">
        <v>38</v>
      </c>
      <c r="O44" s="12">
        <v>11300</v>
      </c>
      <c r="P44" s="12">
        <v>1000</v>
      </c>
      <c r="Q44" s="13">
        <f t="shared" si="1"/>
        <v>12300</v>
      </c>
      <c r="R44" s="34"/>
      <c r="S44" s="35"/>
      <c r="T44" s="36"/>
      <c r="U44" s="36"/>
      <c r="V44" s="37"/>
      <c r="W44" s="9" t="s">
        <v>41</v>
      </c>
      <c r="X44" s="38">
        <v>9100</v>
      </c>
      <c r="Y44" s="38">
        <v>2200</v>
      </c>
      <c r="Z44" s="33"/>
    </row>
    <row r="45" spans="1:26">
      <c r="A45" s="24">
        <v>7</v>
      </c>
      <c r="B45" s="25" t="s">
        <v>42</v>
      </c>
      <c r="C45" s="25" t="s">
        <v>126</v>
      </c>
      <c r="D45" s="26">
        <v>46158</v>
      </c>
      <c r="E45" s="25"/>
      <c r="F45" s="25" t="s">
        <v>53</v>
      </c>
      <c r="G45" s="25" t="s">
        <v>32</v>
      </c>
      <c r="H45" s="24" t="s">
        <v>141</v>
      </c>
      <c r="I45" s="25" t="s">
        <v>249</v>
      </c>
      <c r="J45" s="25" t="s">
        <v>57</v>
      </c>
      <c r="K45" s="25" t="s">
        <v>58</v>
      </c>
      <c r="L45" s="25" t="s">
        <v>250</v>
      </c>
      <c r="M45" s="24">
        <v>2</v>
      </c>
      <c r="N45" s="25" t="s">
        <v>38</v>
      </c>
      <c r="O45" s="27">
        <v>7850</v>
      </c>
      <c r="P45" s="27">
        <v>1000</v>
      </c>
      <c r="Q45" s="28">
        <f t="shared" si="1"/>
        <v>8850</v>
      </c>
      <c r="R45" s="39"/>
      <c r="S45" s="30"/>
      <c r="T45" s="29"/>
      <c r="U45" s="29"/>
      <c r="V45" s="31"/>
      <c r="W45" s="9" t="s">
        <v>41</v>
      </c>
      <c r="X45" s="32">
        <v>5502</v>
      </c>
      <c r="Y45" s="32">
        <v>2348</v>
      </c>
      <c r="Z45" s="33"/>
    </row>
    <row r="46" spans="1:26">
      <c r="A46" s="9">
        <v>8</v>
      </c>
      <c r="B46" s="10" t="s">
        <v>251</v>
      </c>
      <c r="C46" s="10" t="s">
        <v>252</v>
      </c>
      <c r="D46" s="11">
        <v>46160</v>
      </c>
      <c r="E46" s="10"/>
      <c r="F46" s="10" t="s">
        <v>253</v>
      </c>
      <c r="G46" s="10" t="s">
        <v>32</v>
      </c>
      <c r="H46" s="9" t="s">
        <v>254</v>
      </c>
      <c r="I46" s="10" t="s">
        <v>255</v>
      </c>
      <c r="J46" s="10" t="s">
        <v>35</v>
      </c>
      <c r="K46" s="10" t="s">
        <v>58</v>
      </c>
      <c r="L46" s="10" t="s">
        <v>256</v>
      </c>
      <c r="M46" s="9">
        <v>3</v>
      </c>
      <c r="N46" s="10" t="s">
        <v>38</v>
      </c>
      <c r="O46" s="12">
        <v>24800</v>
      </c>
      <c r="P46" s="12">
        <v>1000</v>
      </c>
      <c r="Q46" s="13">
        <f t="shared" si="1"/>
        <v>25800</v>
      </c>
      <c r="R46" s="34"/>
      <c r="S46" s="35"/>
      <c r="T46" s="36" t="s">
        <v>1</v>
      </c>
      <c r="U46" s="36"/>
      <c r="V46" s="37"/>
      <c r="W46" s="9" t="s">
        <v>41</v>
      </c>
      <c r="X46" s="38">
        <v>4000</v>
      </c>
      <c r="Y46" s="38">
        <v>20800</v>
      </c>
      <c r="Z46" s="33"/>
    </row>
    <row r="47" spans="1:26">
      <c r="A47" s="124">
        <v>9</v>
      </c>
      <c r="B47" s="109" t="s">
        <v>257</v>
      </c>
      <c r="C47" s="109" t="s">
        <v>252</v>
      </c>
      <c r="D47" s="135">
        <v>46160</v>
      </c>
      <c r="E47" s="109"/>
      <c r="F47" s="109" t="s">
        <v>243</v>
      </c>
      <c r="G47" s="109" t="s">
        <v>32</v>
      </c>
      <c r="H47" s="124" t="s">
        <v>193</v>
      </c>
      <c r="I47" s="109" t="s">
        <v>244</v>
      </c>
      <c r="J47" s="109" t="s">
        <v>35</v>
      </c>
      <c r="K47" s="40" t="s">
        <v>258</v>
      </c>
      <c r="L47" s="41" t="s">
        <v>259</v>
      </c>
      <c r="M47" s="124">
        <v>1</v>
      </c>
      <c r="N47" s="109" t="s">
        <v>38</v>
      </c>
      <c r="O47" s="134">
        <v>17600</v>
      </c>
      <c r="P47" s="134">
        <v>1000</v>
      </c>
      <c r="Q47" s="139">
        <f t="shared" si="1"/>
        <v>18600</v>
      </c>
      <c r="R47" s="140"/>
      <c r="S47" s="141"/>
      <c r="T47" s="142"/>
      <c r="U47" s="142"/>
      <c r="V47" s="143"/>
      <c r="W47" s="132" t="s">
        <v>41</v>
      </c>
      <c r="X47" s="137">
        <v>0</v>
      </c>
      <c r="Y47" s="137">
        <v>17600</v>
      </c>
      <c r="Z47" s="138"/>
    </row>
    <row r="48" spans="1:26">
      <c r="A48" s="110"/>
      <c r="B48" s="110"/>
      <c r="C48" s="110"/>
      <c r="D48" s="110"/>
      <c r="E48" s="110"/>
      <c r="F48" s="110"/>
      <c r="G48" s="107"/>
      <c r="H48" s="110"/>
      <c r="I48" s="110"/>
      <c r="J48" s="110"/>
      <c r="K48" s="42" t="s">
        <v>260</v>
      </c>
      <c r="L48" s="43" t="s">
        <v>261</v>
      </c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36"/>
      <c r="X48" s="110"/>
      <c r="Y48" s="110"/>
      <c r="Z48" s="110"/>
    </row>
    <row r="49" spans="1:26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40" t="s">
        <v>262</v>
      </c>
      <c r="L49" s="40" t="s">
        <v>259</v>
      </c>
      <c r="M49" s="108"/>
      <c r="N49" s="108"/>
      <c r="O49" s="108"/>
      <c r="P49" s="108"/>
      <c r="Q49" s="108"/>
      <c r="R49" s="131"/>
      <c r="S49" s="131"/>
      <c r="T49" s="131"/>
      <c r="U49" s="131"/>
      <c r="V49" s="131"/>
      <c r="W49" s="131"/>
      <c r="X49" s="131"/>
      <c r="Y49" s="131"/>
      <c r="Z49" s="110"/>
    </row>
    <row r="50" spans="1:26">
      <c r="A50" s="9">
        <v>10</v>
      </c>
      <c r="B50" s="10" t="s">
        <v>263</v>
      </c>
      <c r="C50" s="10" t="s">
        <v>252</v>
      </c>
      <c r="D50" s="11">
        <v>46161</v>
      </c>
      <c r="E50" s="10"/>
      <c r="F50" s="10" t="s">
        <v>264</v>
      </c>
      <c r="G50" s="10" t="s">
        <v>32</v>
      </c>
      <c r="H50" s="9" t="s">
        <v>265</v>
      </c>
      <c r="I50" s="10" t="s">
        <v>266</v>
      </c>
      <c r="J50" s="10" t="s">
        <v>35</v>
      </c>
      <c r="K50" s="10" t="s">
        <v>58</v>
      </c>
      <c r="L50" s="10" t="s">
        <v>267</v>
      </c>
      <c r="M50" s="9">
        <v>1</v>
      </c>
      <c r="N50" s="10" t="s">
        <v>38</v>
      </c>
      <c r="O50" s="12">
        <v>11200</v>
      </c>
      <c r="P50" s="12">
        <v>500</v>
      </c>
      <c r="Q50" s="13">
        <f t="shared" ref="Q50:Q56" si="2">O50+P50</f>
        <v>11700</v>
      </c>
      <c r="R50" s="34"/>
      <c r="S50" s="35"/>
      <c r="T50" s="36"/>
      <c r="U50" s="36"/>
      <c r="V50" s="37"/>
      <c r="W50" s="9" t="s">
        <v>41</v>
      </c>
      <c r="X50" s="38">
        <v>0</v>
      </c>
      <c r="Y50" s="38">
        <v>11200</v>
      </c>
      <c r="Z50" s="33"/>
    </row>
    <row r="51" spans="1:26">
      <c r="A51" s="24">
        <v>11</v>
      </c>
      <c r="B51" s="25" t="s">
        <v>268</v>
      </c>
      <c r="C51" s="25" t="s">
        <v>252</v>
      </c>
      <c r="D51" s="26">
        <v>46161</v>
      </c>
      <c r="E51" s="25"/>
      <c r="F51" s="25" t="s">
        <v>269</v>
      </c>
      <c r="G51" s="25" t="s">
        <v>32</v>
      </c>
      <c r="H51" s="24" t="s">
        <v>270</v>
      </c>
      <c r="I51" s="25" t="s">
        <v>271</v>
      </c>
      <c r="J51" s="25" t="s">
        <v>35</v>
      </c>
      <c r="K51" s="25" t="s">
        <v>260</v>
      </c>
      <c r="L51" s="25" t="s">
        <v>272</v>
      </c>
      <c r="M51" s="24">
        <v>1</v>
      </c>
      <c r="N51" s="25" t="s">
        <v>38</v>
      </c>
      <c r="O51" s="27">
        <v>2850</v>
      </c>
      <c r="P51" s="27">
        <v>500</v>
      </c>
      <c r="Q51" s="28">
        <f t="shared" si="2"/>
        <v>3350</v>
      </c>
      <c r="R51" s="39"/>
      <c r="S51" s="30"/>
      <c r="T51" s="29"/>
      <c r="U51" s="29"/>
      <c r="V51" s="31"/>
      <c r="W51" s="9" t="s">
        <v>41</v>
      </c>
      <c r="X51" s="32">
        <v>2850</v>
      </c>
      <c r="Y51" s="32">
        <v>0</v>
      </c>
      <c r="Z51" s="33"/>
    </row>
    <row r="52" spans="1:26">
      <c r="A52" s="9">
        <v>12</v>
      </c>
      <c r="B52" s="10" t="s">
        <v>273</v>
      </c>
      <c r="C52" s="10" t="s">
        <v>252</v>
      </c>
      <c r="D52" s="11">
        <v>46162</v>
      </c>
      <c r="E52" s="10"/>
      <c r="F52" s="10" t="s">
        <v>274</v>
      </c>
      <c r="G52" s="10" t="s">
        <v>32</v>
      </c>
      <c r="H52" s="9" t="s">
        <v>275</v>
      </c>
      <c r="I52" s="10" t="s">
        <v>276</v>
      </c>
      <c r="J52" s="10" t="s">
        <v>57</v>
      </c>
      <c r="K52" s="10" t="s">
        <v>58</v>
      </c>
      <c r="L52" s="10" t="s">
        <v>267</v>
      </c>
      <c r="M52" s="9">
        <v>1</v>
      </c>
      <c r="N52" s="10" t="s">
        <v>38</v>
      </c>
      <c r="O52" s="12">
        <v>11200</v>
      </c>
      <c r="P52" s="12">
        <v>2000</v>
      </c>
      <c r="Q52" s="13">
        <f t="shared" si="2"/>
        <v>13200</v>
      </c>
      <c r="R52" s="34"/>
      <c r="S52" s="35"/>
      <c r="T52" s="36"/>
      <c r="U52" s="36"/>
      <c r="V52" s="37"/>
      <c r="W52" s="9" t="s">
        <v>41</v>
      </c>
      <c r="X52" s="38">
        <v>0</v>
      </c>
      <c r="Y52" s="38">
        <v>11200</v>
      </c>
      <c r="Z52" s="33"/>
    </row>
    <row r="53" spans="1:26">
      <c r="A53" s="24">
        <v>13</v>
      </c>
      <c r="B53" s="25" t="s">
        <v>277</v>
      </c>
      <c r="C53" s="25" t="s">
        <v>252</v>
      </c>
      <c r="D53" s="26">
        <v>46163</v>
      </c>
      <c r="E53" s="25"/>
      <c r="F53" s="25" t="s">
        <v>278</v>
      </c>
      <c r="G53" s="25" t="s">
        <v>32</v>
      </c>
      <c r="H53" s="24" t="s">
        <v>279</v>
      </c>
      <c r="I53" s="25" t="s">
        <v>280</v>
      </c>
      <c r="J53" s="25" t="s">
        <v>235</v>
      </c>
      <c r="K53" s="25" t="s">
        <v>48</v>
      </c>
      <c r="L53" s="25" t="s">
        <v>281</v>
      </c>
      <c r="M53" s="24">
        <v>1</v>
      </c>
      <c r="N53" s="25" t="s">
        <v>83</v>
      </c>
      <c r="O53" s="27">
        <v>11200</v>
      </c>
      <c r="P53" s="27">
        <v>1000</v>
      </c>
      <c r="Q53" s="28">
        <f t="shared" si="2"/>
        <v>12200</v>
      </c>
      <c r="R53" s="44">
        <v>12550</v>
      </c>
      <c r="S53" s="44">
        <f>R53-Q53</f>
        <v>350</v>
      </c>
      <c r="T53" s="45"/>
      <c r="U53" s="45"/>
      <c r="V53" s="46"/>
      <c r="W53" s="46" t="s">
        <v>41</v>
      </c>
      <c r="X53" s="47">
        <v>0</v>
      </c>
      <c r="Y53" s="47">
        <v>12550</v>
      </c>
      <c r="Z53" s="48" t="s">
        <v>282</v>
      </c>
    </row>
    <row r="54" spans="1:26">
      <c r="A54" s="9">
        <v>14</v>
      </c>
      <c r="B54" s="10" t="s">
        <v>283</v>
      </c>
      <c r="C54" s="10" t="s">
        <v>131</v>
      </c>
      <c r="D54" s="11">
        <v>46167</v>
      </c>
      <c r="E54" s="10"/>
      <c r="F54" s="10" t="s">
        <v>284</v>
      </c>
      <c r="G54" s="10" t="s">
        <v>32</v>
      </c>
      <c r="H54" s="9" t="s">
        <v>285</v>
      </c>
      <c r="I54" s="10" t="s">
        <v>286</v>
      </c>
      <c r="J54" s="10" t="s">
        <v>173</v>
      </c>
      <c r="K54" s="10" t="s">
        <v>58</v>
      </c>
      <c r="L54" s="10" t="s">
        <v>287</v>
      </c>
      <c r="M54" s="9">
        <v>1</v>
      </c>
      <c r="N54" s="10" t="s">
        <v>38</v>
      </c>
      <c r="O54" s="12">
        <v>2000</v>
      </c>
      <c r="P54" s="12">
        <v>1000</v>
      </c>
      <c r="Q54" s="13">
        <f t="shared" si="2"/>
        <v>3000</v>
      </c>
      <c r="R54" s="34"/>
      <c r="S54" s="34"/>
      <c r="T54" s="36"/>
      <c r="U54" s="36"/>
      <c r="V54" s="37"/>
      <c r="W54" s="9" t="s">
        <v>41</v>
      </c>
      <c r="X54" s="38">
        <v>2000</v>
      </c>
      <c r="Y54" s="38">
        <v>0</v>
      </c>
      <c r="Z54" s="33"/>
    </row>
    <row r="55" spans="1:26">
      <c r="A55" s="24">
        <v>15</v>
      </c>
      <c r="B55" s="25" t="s">
        <v>288</v>
      </c>
      <c r="C55" s="25" t="s">
        <v>131</v>
      </c>
      <c r="D55" s="26">
        <v>46168</v>
      </c>
      <c r="E55" s="25"/>
      <c r="F55" s="25" t="s">
        <v>243</v>
      </c>
      <c r="G55" s="25" t="s">
        <v>32</v>
      </c>
      <c r="H55" s="24" t="s">
        <v>193</v>
      </c>
      <c r="I55" s="25" t="s">
        <v>244</v>
      </c>
      <c r="J55" s="25" t="s">
        <v>35</v>
      </c>
      <c r="K55" s="25" t="s">
        <v>58</v>
      </c>
      <c r="L55" s="25" t="s">
        <v>289</v>
      </c>
      <c r="M55" s="24">
        <v>3</v>
      </c>
      <c r="N55" s="25" t="s">
        <v>38</v>
      </c>
      <c r="O55" s="27">
        <v>11150</v>
      </c>
      <c r="P55" s="27">
        <v>1000</v>
      </c>
      <c r="Q55" s="28">
        <f t="shared" si="2"/>
        <v>12150</v>
      </c>
      <c r="R55" s="39"/>
      <c r="S55" s="39"/>
      <c r="T55" s="29"/>
      <c r="U55" s="29"/>
      <c r="V55" s="31"/>
      <c r="W55" s="9" t="s">
        <v>41</v>
      </c>
      <c r="X55" s="32">
        <v>11150</v>
      </c>
      <c r="Y55" s="32">
        <v>0</v>
      </c>
      <c r="Z55" s="33"/>
    </row>
    <row r="56" spans="1:26">
      <c r="A56" s="9">
        <v>16</v>
      </c>
      <c r="B56" s="10" t="s">
        <v>290</v>
      </c>
      <c r="C56" s="10" t="s">
        <v>131</v>
      </c>
      <c r="D56" s="11">
        <v>46169</v>
      </c>
      <c r="E56" s="10"/>
      <c r="F56" s="10" t="s">
        <v>291</v>
      </c>
      <c r="G56" s="10" t="s">
        <v>32</v>
      </c>
      <c r="H56" s="9" t="s">
        <v>292</v>
      </c>
      <c r="I56" s="10" t="s">
        <v>293</v>
      </c>
      <c r="J56" s="10" t="s">
        <v>47</v>
      </c>
      <c r="K56" s="10" t="s">
        <v>58</v>
      </c>
      <c r="L56" s="10" t="s">
        <v>294</v>
      </c>
      <c r="M56" s="9">
        <v>7</v>
      </c>
      <c r="N56" s="10" t="s">
        <v>38</v>
      </c>
      <c r="O56" s="12">
        <v>106445</v>
      </c>
      <c r="P56" s="12">
        <v>1000</v>
      </c>
      <c r="Q56" s="13">
        <f t="shared" si="2"/>
        <v>107445</v>
      </c>
      <c r="R56" s="34"/>
      <c r="S56" s="34"/>
      <c r="T56" s="36"/>
      <c r="U56" s="36"/>
      <c r="V56" s="37"/>
      <c r="W56" s="9" t="s">
        <v>41</v>
      </c>
      <c r="X56" s="38">
        <v>0</v>
      </c>
      <c r="Y56" s="38">
        <v>106445</v>
      </c>
      <c r="Z56" s="33"/>
    </row>
    <row r="57" spans="1:26">
      <c r="A57" s="24"/>
      <c r="B57" s="25"/>
      <c r="C57" s="25"/>
      <c r="D57" s="26"/>
      <c r="E57" s="25"/>
      <c r="F57" s="25"/>
      <c r="G57" s="25"/>
      <c r="H57" s="24"/>
      <c r="I57" s="25"/>
      <c r="J57" s="25"/>
      <c r="K57" s="25" t="s">
        <v>48</v>
      </c>
      <c r="L57" s="25"/>
      <c r="M57" s="24"/>
      <c r="N57" s="25"/>
      <c r="O57" s="27"/>
      <c r="P57" s="27"/>
      <c r="Q57" s="28"/>
      <c r="R57" s="39"/>
      <c r="S57" s="39"/>
      <c r="T57" s="29"/>
      <c r="U57" s="29"/>
      <c r="V57" s="31"/>
      <c r="W57" s="9"/>
      <c r="X57" s="32"/>
      <c r="Y57" s="32"/>
      <c r="Z57" s="33"/>
    </row>
    <row r="58" spans="1:26">
      <c r="A58" s="9">
        <v>17</v>
      </c>
      <c r="B58" s="10" t="s">
        <v>295</v>
      </c>
      <c r="C58" s="10" t="s">
        <v>131</v>
      </c>
      <c r="D58" s="11">
        <v>46170</v>
      </c>
      <c r="E58" s="10"/>
      <c r="F58" s="10" t="s">
        <v>31</v>
      </c>
      <c r="G58" s="10" t="s">
        <v>32</v>
      </c>
      <c r="H58" s="9" t="s">
        <v>33</v>
      </c>
      <c r="I58" s="10" t="s">
        <v>296</v>
      </c>
      <c r="J58" s="10" t="s">
        <v>173</v>
      </c>
      <c r="K58" s="10" t="s">
        <v>58</v>
      </c>
      <c r="L58" s="10" t="s">
        <v>297</v>
      </c>
      <c r="M58" s="9">
        <v>2</v>
      </c>
      <c r="N58" s="10" t="s">
        <v>38</v>
      </c>
      <c r="O58" s="12">
        <v>5800</v>
      </c>
      <c r="P58" s="12">
        <v>1500</v>
      </c>
      <c r="Q58" s="13">
        <f t="shared" ref="Q58:Q61" si="3">O58+P58</f>
        <v>7300</v>
      </c>
      <c r="R58" s="39"/>
      <c r="S58" s="39"/>
      <c r="T58" s="29"/>
      <c r="U58" s="29"/>
      <c r="V58" s="31"/>
      <c r="W58" s="9" t="s">
        <v>41</v>
      </c>
      <c r="X58" s="32">
        <v>5800</v>
      </c>
      <c r="Y58" s="32">
        <v>0</v>
      </c>
      <c r="Z58" s="33"/>
    </row>
    <row r="59" spans="1:26">
      <c r="A59" s="24">
        <v>18</v>
      </c>
      <c r="B59" s="25" t="s">
        <v>298</v>
      </c>
      <c r="C59" s="25" t="s">
        <v>131</v>
      </c>
      <c r="D59" s="26">
        <v>46170</v>
      </c>
      <c r="E59" s="25"/>
      <c r="F59" s="25" t="s">
        <v>299</v>
      </c>
      <c r="G59" s="25" t="s">
        <v>32</v>
      </c>
      <c r="H59" s="24"/>
      <c r="I59" s="25" t="s">
        <v>300</v>
      </c>
      <c r="J59" s="25" t="s">
        <v>35</v>
      </c>
      <c r="K59" s="25" t="s">
        <v>58</v>
      </c>
      <c r="L59" s="25" t="s">
        <v>301</v>
      </c>
      <c r="M59" s="24">
        <v>2</v>
      </c>
      <c r="N59" s="25" t="s">
        <v>38</v>
      </c>
      <c r="O59" s="27">
        <v>4900</v>
      </c>
      <c r="P59" s="27">
        <v>500</v>
      </c>
      <c r="Q59" s="28">
        <f t="shared" si="3"/>
        <v>5400</v>
      </c>
      <c r="R59" s="34"/>
      <c r="S59" s="34"/>
      <c r="T59" s="36"/>
      <c r="U59" s="36"/>
      <c r="V59" s="37"/>
      <c r="W59" s="9" t="s">
        <v>41</v>
      </c>
      <c r="X59" s="38">
        <v>4900</v>
      </c>
      <c r="Y59" s="38">
        <v>0</v>
      </c>
      <c r="Z59" s="33"/>
    </row>
    <row r="60" spans="1:26">
      <c r="A60" s="49">
        <v>19</v>
      </c>
      <c r="B60" s="42" t="s">
        <v>71</v>
      </c>
      <c r="C60" s="42" t="s">
        <v>131</v>
      </c>
      <c r="D60" s="50">
        <v>46171</v>
      </c>
      <c r="E60" s="42"/>
      <c r="F60" s="42" t="s">
        <v>224</v>
      </c>
      <c r="G60" s="10" t="s">
        <v>32</v>
      </c>
      <c r="H60" s="49" t="s">
        <v>225</v>
      </c>
      <c r="I60" s="42" t="s">
        <v>226</v>
      </c>
      <c r="J60" s="42" t="s">
        <v>35</v>
      </c>
      <c r="K60" s="42" t="s">
        <v>58</v>
      </c>
      <c r="L60" s="42" t="s">
        <v>302</v>
      </c>
      <c r="M60" s="9">
        <v>1</v>
      </c>
      <c r="N60" s="10" t="s">
        <v>38</v>
      </c>
      <c r="O60" s="12">
        <v>3050</v>
      </c>
      <c r="P60" s="12">
        <v>500</v>
      </c>
      <c r="Q60" s="13">
        <f t="shared" si="3"/>
        <v>3550</v>
      </c>
      <c r="R60" s="39"/>
      <c r="S60" s="39"/>
      <c r="T60" s="29"/>
      <c r="U60" s="29"/>
      <c r="V60" s="31"/>
      <c r="W60" s="9" t="s">
        <v>41</v>
      </c>
      <c r="X60" s="32">
        <v>3050</v>
      </c>
      <c r="Y60" s="32">
        <v>0</v>
      </c>
      <c r="Z60" s="33"/>
    </row>
    <row r="61" spans="1:26" ht="330.6">
      <c r="A61" s="51">
        <v>20</v>
      </c>
      <c r="B61" s="40" t="s">
        <v>80</v>
      </c>
      <c r="C61" s="40" t="s">
        <v>131</v>
      </c>
      <c r="D61" s="52">
        <v>46171</v>
      </c>
      <c r="E61" s="40"/>
      <c r="F61" s="40" t="s">
        <v>303</v>
      </c>
      <c r="G61" s="40" t="s">
        <v>32</v>
      </c>
      <c r="H61" s="51" t="s">
        <v>233</v>
      </c>
      <c r="I61" s="40" t="s">
        <v>304</v>
      </c>
      <c r="J61" s="40" t="s">
        <v>35</v>
      </c>
      <c r="K61" s="40" t="s">
        <v>58</v>
      </c>
      <c r="L61" s="53" t="s">
        <v>305</v>
      </c>
      <c r="M61" s="24">
        <v>13</v>
      </c>
      <c r="N61" s="25" t="s">
        <v>83</v>
      </c>
      <c r="O61" s="27">
        <v>25000</v>
      </c>
      <c r="P61" s="27">
        <v>1000</v>
      </c>
      <c r="Q61" s="28">
        <f t="shared" si="3"/>
        <v>26000</v>
      </c>
      <c r="R61" s="34"/>
      <c r="S61" s="34"/>
      <c r="T61" s="36"/>
      <c r="U61" s="36"/>
      <c r="V61" s="37"/>
      <c r="W61" s="9" t="s">
        <v>41</v>
      </c>
      <c r="X61" s="38">
        <v>10966</v>
      </c>
      <c r="Y61" s="38">
        <v>14034</v>
      </c>
      <c r="Z61" s="33"/>
    </row>
    <row r="62" spans="1:26">
      <c r="A62" s="9"/>
      <c r="B62" s="10"/>
      <c r="C62" s="10"/>
      <c r="D62" s="11"/>
      <c r="E62" s="10"/>
      <c r="F62" s="10"/>
      <c r="G62" s="10"/>
      <c r="H62" s="9"/>
      <c r="I62" s="10"/>
      <c r="J62" s="10"/>
      <c r="K62" s="10" t="s">
        <v>260</v>
      </c>
      <c r="L62" s="10"/>
      <c r="M62" s="9"/>
      <c r="N62" s="10"/>
      <c r="O62" s="12"/>
      <c r="P62" s="12"/>
      <c r="Q62" s="13"/>
      <c r="R62" s="39"/>
      <c r="S62" s="39"/>
      <c r="T62" s="29"/>
      <c r="U62" s="29"/>
      <c r="V62" s="31"/>
      <c r="W62" s="9"/>
      <c r="X62" s="32"/>
      <c r="Y62" s="32"/>
      <c r="Z62" s="33"/>
    </row>
    <row r="63" spans="1:26">
      <c r="A63" s="24">
        <v>21</v>
      </c>
      <c r="B63" s="25" t="s">
        <v>306</v>
      </c>
      <c r="C63" s="25" t="s">
        <v>307</v>
      </c>
      <c r="D63" s="26">
        <v>46174</v>
      </c>
      <c r="E63" s="25"/>
      <c r="F63" s="25" t="s">
        <v>308</v>
      </c>
      <c r="G63" s="25" t="s">
        <v>32</v>
      </c>
      <c r="H63" s="24" t="s">
        <v>33</v>
      </c>
      <c r="I63" s="25" t="s">
        <v>309</v>
      </c>
      <c r="J63" s="25" t="s">
        <v>57</v>
      </c>
      <c r="K63" s="25" t="s">
        <v>58</v>
      </c>
      <c r="L63" s="25" t="s">
        <v>310</v>
      </c>
      <c r="M63" s="24">
        <v>1</v>
      </c>
      <c r="N63" s="25" t="s">
        <v>38</v>
      </c>
      <c r="O63" s="27">
        <v>12700</v>
      </c>
      <c r="P63" s="27">
        <v>2000</v>
      </c>
      <c r="Q63" s="28">
        <f t="shared" ref="Q63:Q69" si="4">O63+P63</f>
        <v>14700</v>
      </c>
      <c r="R63" s="39"/>
      <c r="S63" s="39"/>
      <c r="T63" s="29"/>
      <c r="U63" s="29"/>
      <c r="V63" s="31"/>
      <c r="W63" s="9" t="s">
        <v>41</v>
      </c>
      <c r="X63" s="32">
        <v>0</v>
      </c>
      <c r="Y63" s="32">
        <v>12700</v>
      </c>
      <c r="Z63" s="33"/>
    </row>
    <row r="64" spans="1:26">
      <c r="A64" s="9">
        <v>22</v>
      </c>
      <c r="B64" s="10" t="s">
        <v>311</v>
      </c>
      <c r="C64" s="10" t="s">
        <v>307</v>
      </c>
      <c r="D64" s="11">
        <v>46174</v>
      </c>
      <c r="E64" s="10"/>
      <c r="F64" s="10" t="s">
        <v>312</v>
      </c>
      <c r="G64" s="10" t="s">
        <v>32</v>
      </c>
      <c r="H64" s="9" t="s">
        <v>313</v>
      </c>
      <c r="I64" s="10" t="s">
        <v>314</v>
      </c>
      <c r="J64" s="10" t="s">
        <v>35</v>
      </c>
      <c r="K64" s="10" t="s">
        <v>58</v>
      </c>
      <c r="L64" s="10" t="s">
        <v>315</v>
      </c>
      <c r="M64" s="9">
        <v>1</v>
      </c>
      <c r="N64" s="10" t="s">
        <v>38</v>
      </c>
      <c r="O64" s="12">
        <v>4900</v>
      </c>
      <c r="P64" s="12">
        <v>1000</v>
      </c>
      <c r="Q64" s="13">
        <f t="shared" si="4"/>
        <v>5900</v>
      </c>
      <c r="R64" s="34"/>
      <c r="S64" s="34"/>
      <c r="T64" s="36"/>
      <c r="U64" s="36"/>
      <c r="V64" s="37"/>
      <c r="W64" s="9" t="s">
        <v>41</v>
      </c>
      <c r="X64" s="38">
        <v>4900</v>
      </c>
      <c r="Y64" s="38">
        <v>0</v>
      </c>
      <c r="Z64" s="33"/>
    </row>
    <row r="65" spans="1:26">
      <c r="A65" s="24">
        <v>23</v>
      </c>
      <c r="B65" s="25" t="s">
        <v>316</v>
      </c>
      <c r="C65" s="25" t="s">
        <v>307</v>
      </c>
      <c r="D65" s="26">
        <v>46174</v>
      </c>
      <c r="E65" s="25"/>
      <c r="F65" s="25" t="s">
        <v>317</v>
      </c>
      <c r="G65" s="25" t="s">
        <v>54</v>
      </c>
      <c r="H65" s="24"/>
      <c r="I65" s="25" t="s">
        <v>309</v>
      </c>
      <c r="J65" s="25" t="s">
        <v>57</v>
      </c>
      <c r="K65" s="25" t="s">
        <v>318</v>
      </c>
      <c r="L65" s="25" t="s">
        <v>319</v>
      </c>
      <c r="M65" s="24">
        <v>1</v>
      </c>
      <c r="N65" s="25" t="s">
        <v>38</v>
      </c>
      <c r="O65" s="27">
        <v>3375</v>
      </c>
      <c r="P65" s="27">
        <v>1500</v>
      </c>
      <c r="Q65" s="28">
        <f t="shared" si="4"/>
        <v>4875</v>
      </c>
      <c r="R65" s="39"/>
      <c r="S65" s="39"/>
      <c r="T65" s="29"/>
      <c r="U65" s="29"/>
      <c r="V65" s="31"/>
      <c r="W65" s="9" t="s">
        <v>41</v>
      </c>
      <c r="X65" s="32">
        <v>3375</v>
      </c>
      <c r="Y65" s="32">
        <v>0</v>
      </c>
      <c r="Z65" s="33"/>
    </row>
    <row r="66" spans="1:26">
      <c r="A66" s="9">
        <v>24</v>
      </c>
      <c r="B66" s="10" t="s">
        <v>320</v>
      </c>
      <c r="C66" s="10" t="s">
        <v>307</v>
      </c>
      <c r="D66" s="11">
        <v>46175</v>
      </c>
      <c r="E66" s="10"/>
      <c r="F66" s="10" t="s">
        <v>321</v>
      </c>
      <c r="G66" s="10" t="s">
        <v>32</v>
      </c>
      <c r="H66" s="9" t="s">
        <v>322</v>
      </c>
      <c r="I66" s="10" t="s">
        <v>323</v>
      </c>
      <c r="J66" s="10" t="s">
        <v>35</v>
      </c>
      <c r="K66" s="10" t="s">
        <v>260</v>
      </c>
      <c r="L66" s="10" t="s">
        <v>324</v>
      </c>
      <c r="M66" s="9">
        <v>1</v>
      </c>
      <c r="N66" s="10" t="s">
        <v>38</v>
      </c>
      <c r="O66" s="12">
        <v>2500</v>
      </c>
      <c r="P66" s="12">
        <v>500</v>
      </c>
      <c r="Q66" s="13">
        <f t="shared" si="4"/>
        <v>3000</v>
      </c>
      <c r="R66" s="34"/>
      <c r="S66" s="34"/>
      <c r="T66" s="36"/>
      <c r="U66" s="36"/>
      <c r="V66" s="37"/>
      <c r="W66" s="9" t="s">
        <v>41</v>
      </c>
      <c r="X66" s="38">
        <v>2500</v>
      </c>
      <c r="Y66" s="38">
        <v>0</v>
      </c>
      <c r="Z66" s="33"/>
    </row>
    <row r="67" spans="1:26">
      <c r="A67" s="24">
        <v>25</v>
      </c>
      <c r="B67" s="25" t="s">
        <v>325</v>
      </c>
      <c r="C67" s="25" t="s">
        <v>307</v>
      </c>
      <c r="D67" s="26">
        <v>46179</v>
      </c>
      <c r="E67" s="25"/>
      <c r="F67" s="25" t="s">
        <v>243</v>
      </c>
      <c r="G67" s="25" t="s">
        <v>54</v>
      </c>
      <c r="H67" s="24" t="s">
        <v>193</v>
      </c>
      <c r="I67" s="25" t="s">
        <v>244</v>
      </c>
      <c r="J67" s="25" t="s">
        <v>35</v>
      </c>
      <c r="K67" s="25" t="s">
        <v>58</v>
      </c>
      <c r="L67" s="25" t="s">
        <v>326</v>
      </c>
      <c r="M67" s="24">
        <v>1</v>
      </c>
      <c r="N67" s="25" t="s">
        <v>38</v>
      </c>
      <c r="O67" s="27">
        <v>4875</v>
      </c>
      <c r="P67" s="27">
        <v>1000</v>
      </c>
      <c r="Q67" s="28">
        <f t="shared" si="4"/>
        <v>5875</v>
      </c>
      <c r="R67" s="39"/>
      <c r="S67" s="39"/>
      <c r="T67" s="29"/>
      <c r="U67" s="29"/>
      <c r="V67" s="31"/>
      <c r="W67" s="9" t="s">
        <v>41</v>
      </c>
      <c r="X67" s="32">
        <v>4875</v>
      </c>
      <c r="Y67" s="32">
        <v>0</v>
      </c>
      <c r="Z67" s="33"/>
    </row>
    <row r="68" spans="1:26">
      <c r="A68" s="9">
        <v>26</v>
      </c>
      <c r="B68" s="10" t="s">
        <v>327</v>
      </c>
      <c r="C68" s="10" t="s">
        <v>328</v>
      </c>
      <c r="D68" s="11">
        <v>46182</v>
      </c>
      <c r="E68" s="10"/>
      <c r="F68" s="10" t="s">
        <v>329</v>
      </c>
      <c r="G68" s="10" t="s">
        <v>32</v>
      </c>
      <c r="H68" s="9" t="s">
        <v>330</v>
      </c>
      <c r="I68" s="10" t="s">
        <v>331</v>
      </c>
      <c r="J68" s="10" t="s">
        <v>332</v>
      </c>
      <c r="K68" s="10" t="s">
        <v>260</v>
      </c>
      <c r="L68" s="10" t="s">
        <v>333</v>
      </c>
      <c r="M68" s="9">
        <v>1</v>
      </c>
      <c r="N68" s="10" t="s">
        <v>38</v>
      </c>
      <c r="O68" s="12">
        <v>5000</v>
      </c>
      <c r="P68" s="12">
        <v>0</v>
      </c>
      <c r="Q68" s="13">
        <f t="shared" si="4"/>
        <v>5000</v>
      </c>
      <c r="R68" s="44">
        <v>6000</v>
      </c>
      <c r="S68" s="54">
        <f>R68-Q68</f>
        <v>1000</v>
      </c>
      <c r="T68" s="45"/>
      <c r="U68" s="45"/>
      <c r="V68" s="46"/>
      <c r="W68" s="46" t="s">
        <v>41</v>
      </c>
      <c r="X68" s="47">
        <v>5000</v>
      </c>
      <c r="Y68" s="47">
        <v>0</v>
      </c>
      <c r="Z68" s="48" t="s">
        <v>334</v>
      </c>
    </row>
    <row r="69" spans="1:26">
      <c r="A69" s="124">
        <v>27</v>
      </c>
      <c r="B69" s="109" t="s">
        <v>325</v>
      </c>
      <c r="C69" s="109" t="s">
        <v>328</v>
      </c>
      <c r="D69" s="135">
        <v>46186</v>
      </c>
      <c r="E69" s="109"/>
      <c r="F69" s="109" t="s">
        <v>335</v>
      </c>
      <c r="G69" s="109" t="s">
        <v>32</v>
      </c>
      <c r="H69" s="124" t="s">
        <v>336</v>
      </c>
      <c r="I69" s="109" t="s">
        <v>337</v>
      </c>
      <c r="J69" s="40" t="s">
        <v>35</v>
      </c>
      <c r="K69" s="40" t="s">
        <v>338</v>
      </c>
      <c r="L69" s="40" t="s">
        <v>339</v>
      </c>
      <c r="M69" s="24">
        <v>2</v>
      </c>
      <c r="N69" s="126" t="s">
        <v>38</v>
      </c>
      <c r="O69" s="129">
        <v>50800</v>
      </c>
      <c r="P69" s="27">
        <v>1000</v>
      </c>
      <c r="Q69" s="28">
        <f t="shared" si="4"/>
        <v>51800</v>
      </c>
      <c r="R69" s="39"/>
      <c r="S69" s="39"/>
      <c r="T69" s="29"/>
      <c r="U69" s="29"/>
      <c r="V69" s="31"/>
      <c r="W69" s="9" t="s">
        <v>41</v>
      </c>
      <c r="X69" s="32">
        <v>30602</v>
      </c>
      <c r="Y69" s="32">
        <v>20198</v>
      </c>
      <c r="Z69" s="33"/>
    </row>
    <row r="70" spans="1:26">
      <c r="A70" s="125"/>
      <c r="B70" s="125"/>
      <c r="C70" s="125"/>
      <c r="D70" s="125"/>
      <c r="E70" s="125"/>
      <c r="F70" s="125"/>
      <c r="G70" s="125"/>
      <c r="H70" s="125"/>
      <c r="I70" s="125"/>
      <c r="J70" s="42"/>
      <c r="K70" s="42" t="s">
        <v>58</v>
      </c>
      <c r="L70" s="42" t="s">
        <v>340</v>
      </c>
      <c r="M70" s="9">
        <v>1</v>
      </c>
      <c r="N70" s="125"/>
      <c r="O70" s="125"/>
      <c r="P70" s="12"/>
      <c r="Q70" s="13"/>
      <c r="R70" s="34"/>
      <c r="S70" s="34"/>
      <c r="T70" s="36"/>
      <c r="U70" s="36"/>
      <c r="V70" s="37"/>
      <c r="W70" s="9"/>
      <c r="X70" s="38"/>
      <c r="Y70" s="38"/>
      <c r="Z70" s="33"/>
    </row>
    <row r="71" spans="1:26">
      <c r="A71" s="24">
        <v>28</v>
      </c>
      <c r="B71" s="25" t="s">
        <v>98</v>
      </c>
      <c r="C71" s="25" t="s">
        <v>328</v>
      </c>
      <c r="D71" s="26">
        <v>46186</v>
      </c>
      <c r="E71" s="25"/>
      <c r="F71" s="25" t="s">
        <v>341</v>
      </c>
      <c r="G71" s="25" t="s">
        <v>54</v>
      </c>
      <c r="H71" s="24" t="s">
        <v>342</v>
      </c>
      <c r="I71" s="25" t="s">
        <v>343</v>
      </c>
      <c r="J71" s="25" t="s">
        <v>35</v>
      </c>
      <c r="K71" s="25" t="s">
        <v>338</v>
      </c>
      <c r="L71" s="25" t="s">
        <v>344</v>
      </c>
      <c r="M71" s="24">
        <v>1</v>
      </c>
      <c r="N71" s="25" t="s">
        <v>38</v>
      </c>
      <c r="O71" s="27">
        <v>15000</v>
      </c>
      <c r="P71" s="27">
        <v>1000</v>
      </c>
      <c r="Q71" s="28">
        <f t="shared" ref="Q71:Q75" si="5">O71+P71</f>
        <v>16000</v>
      </c>
      <c r="R71" s="34"/>
      <c r="S71" s="34"/>
      <c r="T71" s="36"/>
      <c r="U71" s="36"/>
      <c r="V71" s="37"/>
      <c r="W71" s="9" t="s">
        <v>41</v>
      </c>
      <c r="X71" s="38">
        <v>0</v>
      </c>
      <c r="Y71" s="38">
        <v>15000</v>
      </c>
      <c r="Z71" s="33"/>
    </row>
    <row r="72" spans="1:26">
      <c r="A72" s="9">
        <v>29</v>
      </c>
      <c r="B72" s="10" t="s">
        <v>345</v>
      </c>
      <c r="C72" s="10" t="s">
        <v>139</v>
      </c>
      <c r="D72" s="11">
        <v>46188</v>
      </c>
      <c r="E72" s="10"/>
      <c r="F72" s="10" t="s">
        <v>312</v>
      </c>
      <c r="G72" s="10" t="s">
        <v>32</v>
      </c>
      <c r="H72" s="9" t="s">
        <v>313</v>
      </c>
      <c r="I72" s="10" t="s">
        <v>346</v>
      </c>
      <c r="J72" s="10" t="s">
        <v>35</v>
      </c>
      <c r="K72" s="10" t="s">
        <v>58</v>
      </c>
      <c r="L72" s="10" t="s">
        <v>347</v>
      </c>
      <c r="M72" s="9">
        <v>2</v>
      </c>
      <c r="N72" s="10" t="s">
        <v>38</v>
      </c>
      <c r="O72" s="12">
        <v>13750</v>
      </c>
      <c r="P72" s="12">
        <v>1000</v>
      </c>
      <c r="Q72" s="13">
        <f t="shared" si="5"/>
        <v>14750</v>
      </c>
      <c r="R72" s="39"/>
      <c r="S72" s="39"/>
      <c r="T72" s="29"/>
      <c r="U72" s="29"/>
      <c r="V72" s="31"/>
      <c r="W72" s="9" t="s">
        <v>41</v>
      </c>
      <c r="X72" s="32">
        <v>13750</v>
      </c>
      <c r="Y72" s="32">
        <v>0</v>
      </c>
      <c r="Z72" s="33"/>
    </row>
    <row r="73" spans="1:26">
      <c r="A73" s="24">
        <v>30</v>
      </c>
      <c r="B73" s="25" t="s">
        <v>348</v>
      </c>
      <c r="C73" s="25" t="s">
        <v>139</v>
      </c>
      <c r="D73" s="26">
        <v>46189</v>
      </c>
      <c r="E73" s="25"/>
      <c r="F73" s="25" t="s">
        <v>312</v>
      </c>
      <c r="G73" s="25" t="s">
        <v>32</v>
      </c>
      <c r="H73" s="24" t="s">
        <v>313</v>
      </c>
      <c r="I73" s="25" t="s">
        <v>314</v>
      </c>
      <c r="J73" s="25" t="s">
        <v>35</v>
      </c>
      <c r="K73" s="25" t="s">
        <v>349</v>
      </c>
      <c r="L73" s="25" t="s">
        <v>350</v>
      </c>
      <c r="M73" s="24">
        <v>1</v>
      </c>
      <c r="N73" s="25" t="s">
        <v>38</v>
      </c>
      <c r="O73" s="27">
        <v>21150</v>
      </c>
      <c r="P73" s="27">
        <v>1000</v>
      </c>
      <c r="Q73" s="28">
        <f t="shared" si="5"/>
        <v>22150</v>
      </c>
      <c r="R73" s="44">
        <v>25150</v>
      </c>
      <c r="S73" s="55">
        <f>R73-Q73</f>
        <v>3000</v>
      </c>
      <c r="T73" s="45"/>
      <c r="U73" s="45"/>
      <c r="V73" s="46"/>
      <c r="W73" s="46" t="s">
        <v>41</v>
      </c>
      <c r="X73" s="47">
        <v>21150</v>
      </c>
      <c r="Y73" s="47">
        <v>0</v>
      </c>
      <c r="Z73" s="48" t="s">
        <v>351</v>
      </c>
    </row>
    <row r="74" spans="1:26">
      <c r="A74" s="9">
        <v>31</v>
      </c>
      <c r="B74" s="10" t="s">
        <v>352</v>
      </c>
      <c r="C74" s="10" t="s">
        <v>139</v>
      </c>
      <c r="D74" s="11">
        <v>46189</v>
      </c>
      <c r="E74" s="10"/>
      <c r="F74" s="10" t="s">
        <v>353</v>
      </c>
      <c r="G74" s="10" t="s">
        <v>54</v>
      </c>
      <c r="H74" s="9" t="s">
        <v>354</v>
      </c>
      <c r="I74" s="10" t="s">
        <v>355</v>
      </c>
      <c r="J74" s="10" t="s">
        <v>47</v>
      </c>
      <c r="K74" s="10" t="s">
        <v>338</v>
      </c>
      <c r="L74" s="10" t="s">
        <v>344</v>
      </c>
      <c r="M74" s="9">
        <v>1</v>
      </c>
      <c r="N74" s="10" t="s">
        <v>38</v>
      </c>
      <c r="O74" s="12">
        <v>15000</v>
      </c>
      <c r="P74" s="12">
        <v>0</v>
      </c>
      <c r="Q74" s="13">
        <f t="shared" si="5"/>
        <v>15000</v>
      </c>
      <c r="R74" s="39"/>
      <c r="S74" s="39"/>
      <c r="T74" s="29"/>
      <c r="U74" s="29"/>
      <c r="V74" s="31"/>
      <c r="W74" s="9" t="s">
        <v>41</v>
      </c>
      <c r="X74" s="32">
        <v>0</v>
      </c>
      <c r="Y74" s="32">
        <v>15000</v>
      </c>
      <c r="Z74" s="33"/>
    </row>
    <row r="75" spans="1:26">
      <c r="A75" s="124">
        <v>32</v>
      </c>
      <c r="B75" s="109" t="s">
        <v>356</v>
      </c>
      <c r="C75" s="109" t="s">
        <v>139</v>
      </c>
      <c r="D75" s="135">
        <v>46193</v>
      </c>
      <c r="E75" s="40"/>
      <c r="F75" s="109" t="s">
        <v>243</v>
      </c>
      <c r="G75" s="109" t="s">
        <v>54</v>
      </c>
      <c r="H75" s="124" t="s">
        <v>193</v>
      </c>
      <c r="I75" s="109" t="s">
        <v>244</v>
      </c>
      <c r="J75" s="109" t="s">
        <v>35</v>
      </c>
      <c r="K75" s="40" t="s">
        <v>58</v>
      </c>
      <c r="L75" s="40" t="s">
        <v>357</v>
      </c>
      <c r="M75" s="51">
        <v>3</v>
      </c>
      <c r="N75" s="109" t="s">
        <v>38</v>
      </c>
      <c r="O75" s="134">
        <v>10400</v>
      </c>
      <c r="P75" s="129">
        <v>1000</v>
      </c>
      <c r="Q75" s="28">
        <f t="shared" si="5"/>
        <v>11400</v>
      </c>
      <c r="R75" s="34"/>
      <c r="S75" s="34"/>
      <c r="T75" s="36"/>
      <c r="U75" s="36"/>
      <c r="V75" s="37"/>
      <c r="W75" s="130" t="s">
        <v>41</v>
      </c>
      <c r="X75" s="38">
        <v>10400</v>
      </c>
      <c r="Y75" s="38">
        <v>0</v>
      </c>
      <c r="Z75" s="33"/>
    </row>
    <row r="76" spans="1:26">
      <c r="A76" s="125"/>
      <c r="B76" s="125"/>
      <c r="C76" s="125"/>
      <c r="D76" s="125"/>
      <c r="E76" s="42"/>
      <c r="F76" s="125"/>
      <c r="G76" s="125"/>
      <c r="H76" s="125"/>
      <c r="I76" s="125"/>
      <c r="J76" s="125"/>
      <c r="K76" s="42" t="s">
        <v>260</v>
      </c>
      <c r="L76" s="42"/>
      <c r="M76" s="49"/>
      <c r="N76" s="125"/>
      <c r="O76" s="125"/>
      <c r="P76" s="125"/>
      <c r="Q76" s="13"/>
      <c r="R76" s="39"/>
      <c r="S76" s="39"/>
      <c r="T76" s="29"/>
      <c r="U76" s="29"/>
      <c r="V76" s="31"/>
      <c r="W76" s="131"/>
      <c r="X76" s="32"/>
      <c r="Y76" s="32"/>
      <c r="Z76" s="33"/>
    </row>
    <row r="77" spans="1:26">
      <c r="A77" s="24">
        <v>33</v>
      </c>
      <c r="B77" s="25" t="s">
        <v>356</v>
      </c>
      <c r="C77" s="25" t="s">
        <v>139</v>
      </c>
      <c r="D77" s="26">
        <v>46193</v>
      </c>
      <c r="E77" s="25"/>
      <c r="F77" s="25" t="s">
        <v>358</v>
      </c>
      <c r="G77" s="25" t="s">
        <v>54</v>
      </c>
      <c r="H77" s="24" t="s">
        <v>359</v>
      </c>
      <c r="I77" s="25" t="s">
        <v>360</v>
      </c>
      <c r="J77" s="25" t="s">
        <v>47</v>
      </c>
      <c r="K77" s="25" t="s">
        <v>58</v>
      </c>
      <c r="L77" s="25" t="s">
        <v>361</v>
      </c>
      <c r="M77" s="24">
        <v>1</v>
      </c>
      <c r="N77" s="25" t="s">
        <v>38</v>
      </c>
      <c r="O77" s="27">
        <v>19800</v>
      </c>
      <c r="P77" s="27">
        <v>1000</v>
      </c>
      <c r="Q77" s="28">
        <f t="shared" ref="Q77:Q135" si="6">O77+P77</f>
        <v>20800</v>
      </c>
      <c r="R77" s="39"/>
      <c r="S77" s="39"/>
      <c r="T77" s="29"/>
      <c r="U77" s="29"/>
      <c r="V77" s="31"/>
      <c r="W77" s="9" t="s">
        <v>41</v>
      </c>
      <c r="X77" s="32">
        <v>0</v>
      </c>
      <c r="Y77" s="32">
        <v>19800</v>
      </c>
      <c r="Z77" s="33"/>
    </row>
    <row r="78" spans="1:26">
      <c r="A78" s="9">
        <v>34</v>
      </c>
      <c r="B78" s="10" t="s">
        <v>125</v>
      </c>
      <c r="C78" s="10" t="s">
        <v>362</v>
      </c>
      <c r="D78" s="11">
        <v>46203</v>
      </c>
      <c r="E78" s="10"/>
      <c r="F78" s="10" t="s">
        <v>44</v>
      </c>
      <c r="G78" s="10" t="s">
        <v>32</v>
      </c>
      <c r="H78" s="9" t="s">
        <v>45</v>
      </c>
      <c r="I78" s="10" t="s">
        <v>363</v>
      </c>
      <c r="J78" s="10" t="s">
        <v>35</v>
      </c>
      <c r="K78" s="10" t="s">
        <v>58</v>
      </c>
      <c r="L78" s="10" t="s">
        <v>364</v>
      </c>
      <c r="M78" s="9">
        <v>1</v>
      </c>
      <c r="N78" s="10" t="s">
        <v>38</v>
      </c>
      <c r="O78" s="12">
        <v>6700</v>
      </c>
      <c r="P78" s="12">
        <v>1000</v>
      </c>
      <c r="Q78" s="13">
        <f t="shared" si="6"/>
        <v>7700</v>
      </c>
      <c r="R78" s="34"/>
      <c r="S78" s="34"/>
      <c r="T78" s="36"/>
      <c r="U78" s="36"/>
      <c r="V78" s="37"/>
      <c r="W78" s="9" t="s">
        <v>41</v>
      </c>
      <c r="X78" s="38">
        <v>6700</v>
      </c>
      <c r="Y78" s="38">
        <v>0</v>
      </c>
      <c r="Z78" s="33"/>
    </row>
    <row r="79" spans="1:26">
      <c r="A79" s="24">
        <v>35</v>
      </c>
      <c r="B79" s="25" t="s">
        <v>365</v>
      </c>
      <c r="C79" s="25" t="s">
        <v>362</v>
      </c>
      <c r="D79" s="26">
        <v>46203</v>
      </c>
      <c r="E79" s="25"/>
      <c r="F79" s="25" t="s">
        <v>366</v>
      </c>
      <c r="G79" s="25" t="s">
        <v>32</v>
      </c>
      <c r="H79" s="24" t="s">
        <v>367</v>
      </c>
      <c r="I79" s="25" t="s">
        <v>368</v>
      </c>
      <c r="J79" s="25" t="s">
        <v>35</v>
      </c>
      <c r="K79" s="25" t="s">
        <v>58</v>
      </c>
      <c r="L79" s="25" t="s">
        <v>369</v>
      </c>
      <c r="M79" s="24">
        <v>1</v>
      </c>
      <c r="N79" s="25" t="s">
        <v>38</v>
      </c>
      <c r="O79" s="27">
        <v>3350</v>
      </c>
      <c r="P79" s="27">
        <v>0</v>
      </c>
      <c r="Q79" s="28">
        <f t="shared" si="6"/>
        <v>3350</v>
      </c>
      <c r="R79" s="39"/>
      <c r="S79" s="39"/>
      <c r="T79" s="29"/>
      <c r="U79" s="29"/>
      <c r="V79" s="31"/>
      <c r="W79" s="9" t="s">
        <v>41</v>
      </c>
      <c r="X79" s="32">
        <v>3350</v>
      </c>
      <c r="Y79" s="32">
        <v>0</v>
      </c>
      <c r="Z79" s="33"/>
    </row>
    <row r="80" spans="1:26">
      <c r="A80" s="9">
        <v>36</v>
      </c>
      <c r="B80" s="10" t="s">
        <v>370</v>
      </c>
      <c r="C80" s="10" t="s">
        <v>371</v>
      </c>
      <c r="D80" s="11">
        <v>46203</v>
      </c>
      <c r="E80" s="10"/>
      <c r="F80" s="10" t="s">
        <v>372</v>
      </c>
      <c r="G80" s="10" t="s">
        <v>32</v>
      </c>
      <c r="H80" s="9" t="s">
        <v>373</v>
      </c>
      <c r="I80" s="10" t="s">
        <v>374</v>
      </c>
      <c r="J80" s="10" t="s">
        <v>235</v>
      </c>
      <c r="K80" s="10" t="s">
        <v>58</v>
      </c>
      <c r="L80" s="10" t="s">
        <v>375</v>
      </c>
      <c r="M80" s="9">
        <v>1</v>
      </c>
      <c r="N80" s="10" t="s">
        <v>38</v>
      </c>
      <c r="O80" s="12">
        <v>15100</v>
      </c>
      <c r="P80" s="12">
        <v>1000</v>
      </c>
      <c r="Q80" s="13">
        <f t="shared" si="6"/>
        <v>16100</v>
      </c>
      <c r="R80" s="34"/>
      <c r="S80" s="34"/>
      <c r="T80" s="36"/>
      <c r="U80" s="36"/>
      <c r="V80" s="37"/>
      <c r="W80" s="9" t="s">
        <v>41</v>
      </c>
      <c r="X80" s="38">
        <v>15100</v>
      </c>
      <c r="Y80" s="38">
        <v>0</v>
      </c>
      <c r="Z80" s="33"/>
    </row>
    <row r="81" spans="1:26">
      <c r="A81" s="24">
        <v>37</v>
      </c>
      <c r="B81" s="25" t="s">
        <v>365</v>
      </c>
      <c r="C81" s="25" t="s">
        <v>362</v>
      </c>
      <c r="D81" s="26">
        <v>46203</v>
      </c>
      <c r="E81" s="25"/>
      <c r="F81" s="25" t="s">
        <v>376</v>
      </c>
      <c r="G81" s="25" t="s">
        <v>32</v>
      </c>
      <c r="H81" s="24" t="s">
        <v>377</v>
      </c>
      <c r="I81" s="25" t="s">
        <v>378</v>
      </c>
      <c r="J81" s="25" t="s">
        <v>47</v>
      </c>
      <c r="K81" s="25" t="s">
        <v>58</v>
      </c>
      <c r="L81" s="25" t="s">
        <v>379</v>
      </c>
      <c r="M81" s="24">
        <v>2</v>
      </c>
      <c r="N81" s="25" t="s">
        <v>38</v>
      </c>
      <c r="O81" s="27">
        <v>14800</v>
      </c>
      <c r="P81" s="27">
        <v>1000</v>
      </c>
      <c r="Q81" s="28">
        <f t="shared" si="6"/>
        <v>15800</v>
      </c>
      <c r="R81" s="39"/>
      <c r="S81" s="39"/>
      <c r="T81" s="29"/>
      <c r="U81" s="29"/>
      <c r="V81" s="31"/>
      <c r="W81" s="9" t="s">
        <v>41</v>
      </c>
      <c r="X81" s="32">
        <v>2200</v>
      </c>
      <c r="Y81" s="32">
        <v>12600</v>
      </c>
      <c r="Z81" s="33"/>
    </row>
    <row r="82" spans="1:26">
      <c r="A82" s="9">
        <v>38</v>
      </c>
      <c r="B82" s="10" t="s">
        <v>380</v>
      </c>
      <c r="C82" s="10" t="s">
        <v>362</v>
      </c>
      <c r="D82" s="11">
        <v>46204</v>
      </c>
      <c r="E82" s="10"/>
      <c r="F82" s="10" t="s">
        <v>232</v>
      </c>
      <c r="G82" s="10" t="s">
        <v>32</v>
      </c>
      <c r="H82" s="9" t="s">
        <v>233</v>
      </c>
      <c r="I82" s="10" t="s">
        <v>234</v>
      </c>
      <c r="J82" s="10" t="s">
        <v>235</v>
      </c>
      <c r="K82" s="10" t="s">
        <v>58</v>
      </c>
      <c r="L82" s="10" t="s">
        <v>381</v>
      </c>
      <c r="M82" s="9">
        <v>2</v>
      </c>
      <c r="N82" s="10" t="s">
        <v>38</v>
      </c>
      <c r="O82" s="12">
        <v>7200</v>
      </c>
      <c r="P82" s="12">
        <v>1000</v>
      </c>
      <c r="Q82" s="13">
        <f t="shared" si="6"/>
        <v>8200</v>
      </c>
      <c r="R82" s="34"/>
      <c r="S82" s="34"/>
      <c r="T82" s="36"/>
      <c r="U82" s="36"/>
      <c r="V82" s="37"/>
      <c r="W82" s="9" t="s">
        <v>41</v>
      </c>
      <c r="X82" s="38">
        <v>6700</v>
      </c>
      <c r="Y82" s="38">
        <v>500</v>
      </c>
      <c r="Z82" s="33"/>
    </row>
    <row r="83" spans="1:26">
      <c r="A83" s="24">
        <v>39</v>
      </c>
      <c r="B83" s="25" t="s">
        <v>382</v>
      </c>
      <c r="C83" s="25" t="s">
        <v>362</v>
      </c>
      <c r="D83" s="26">
        <v>46207</v>
      </c>
      <c r="E83" s="25"/>
      <c r="F83" s="25" t="s">
        <v>238</v>
      </c>
      <c r="G83" s="25" t="s">
        <v>32</v>
      </c>
      <c r="H83" s="24" t="s">
        <v>239</v>
      </c>
      <c r="I83" s="25" t="s">
        <v>383</v>
      </c>
      <c r="J83" s="25" t="s">
        <v>57</v>
      </c>
      <c r="K83" s="25" t="s">
        <v>58</v>
      </c>
      <c r="L83" s="25" t="s">
        <v>384</v>
      </c>
      <c r="M83" s="24">
        <v>2</v>
      </c>
      <c r="N83" s="25" t="s">
        <v>38</v>
      </c>
      <c r="O83" s="27">
        <v>66000</v>
      </c>
      <c r="P83" s="27">
        <v>2000</v>
      </c>
      <c r="Q83" s="28">
        <f t="shared" si="6"/>
        <v>68000</v>
      </c>
      <c r="R83" s="44"/>
      <c r="S83" s="56">
        <v>7200</v>
      </c>
      <c r="T83" s="45"/>
      <c r="U83" s="45"/>
      <c r="V83" s="46"/>
      <c r="W83" s="46" t="s">
        <v>41</v>
      </c>
      <c r="X83" s="47">
        <v>0</v>
      </c>
      <c r="Y83" s="47">
        <v>66000</v>
      </c>
      <c r="Z83" s="48" t="s">
        <v>351</v>
      </c>
    </row>
    <row r="84" spans="1:26">
      <c r="A84" s="9">
        <v>40</v>
      </c>
      <c r="B84" s="10" t="s">
        <v>385</v>
      </c>
      <c r="C84" s="10" t="s">
        <v>146</v>
      </c>
      <c r="D84" s="11">
        <v>46209</v>
      </c>
      <c r="E84" s="10"/>
      <c r="F84" s="10" t="s">
        <v>386</v>
      </c>
      <c r="G84" s="10" t="s">
        <v>54</v>
      </c>
      <c r="H84" s="9" t="s">
        <v>387</v>
      </c>
      <c r="I84" s="10" t="s">
        <v>388</v>
      </c>
      <c r="J84" s="10" t="s">
        <v>35</v>
      </c>
      <c r="K84" s="10" t="s">
        <v>58</v>
      </c>
      <c r="L84" s="10" t="s">
        <v>389</v>
      </c>
      <c r="M84" s="9">
        <v>1</v>
      </c>
      <c r="N84" s="10" t="s">
        <v>38</v>
      </c>
      <c r="O84" s="12">
        <v>22500</v>
      </c>
      <c r="P84" s="12">
        <v>1000</v>
      </c>
      <c r="Q84" s="13">
        <f t="shared" si="6"/>
        <v>23500</v>
      </c>
      <c r="R84" s="34"/>
      <c r="S84" s="34"/>
      <c r="T84" s="36"/>
      <c r="U84" s="36"/>
      <c r="V84" s="37"/>
      <c r="W84" s="9" t="s">
        <v>41</v>
      </c>
      <c r="X84" s="38">
        <v>0</v>
      </c>
      <c r="Y84" s="38">
        <v>22500</v>
      </c>
      <c r="Z84" s="57"/>
    </row>
    <row r="85" spans="1:26">
      <c r="A85" s="24">
        <v>41</v>
      </c>
      <c r="B85" s="25" t="s">
        <v>385</v>
      </c>
      <c r="C85" s="25" t="s">
        <v>146</v>
      </c>
      <c r="D85" s="26">
        <v>46209</v>
      </c>
      <c r="E85" s="25"/>
      <c r="F85" s="25" t="s">
        <v>390</v>
      </c>
      <c r="G85" s="25" t="s">
        <v>54</v>
      </c>
      <c r="H85" s="24" t="s">
        <v>391</v>
      </c>
      <c r="I85" s="25" t="s">
        <v>392</v>
      </c>
      <c r="J85" s="25" t="s">
        <v>47</v>
      </c>
      <c r="K85" s="25" t="s">
        <v>58</v>
      </c>
      <c r="L85" s="25" t="s">
        <v>393</v>
      </c>
      <c r="M85" s="24">
        <v>1</v>
      </c>
      <c r="N85" s="25" t="s">
        <v>38</v>
      </c>
      <c r="O85" s="27">
        <v>2850</v>
      </c>
      <c r="P85" s="27">
        <v>1000</v>
      </c>
      <c r="Q85" s="28">
        <f t="shared" si="6"/>
        <v>3850</v>
      </c>
      <c r="R85" s="39"/>
      <c r="S85" s="39"/>
      <c r="T85" s="29"/>
      <c r="U85" s="29"/>
      <c r="V85" s="31"/>
      <c r="W85" s="9" t="s">
        <v>41</v>
      </c>
      <c r="X85" s="32">
        <v>2850</v>
      </c>
      <c r="Y85" s="32">
        <v>0</v>
      </c>
      <c r="Z85" s="33"/>
    </row>
    <row r="86" spans="1:26">
      <c r="A86" s="9">
        <v>42</v>
      </c>
      <c r="B86" s="10" t="s">
        <v>394</v>
      </c>
      <c r="C86" s="10" t="s">
        <v>146</v>
      </c>
      <c r="D86" s="11">
        <v>46210</v>
      </c>
      <c r="E86" s="10"/>
      <c r="F86" s="10" t="s">
        <v>238</v>
      </c>
      <c r="G86" s="10" t="s">
        <v>32</v>
      </c>
      <c r="H86" s="9" t="s">
        <v>239</v>
      </c>
      <c r="I86" s="10" t="s">
        <v>383</v>
      </c>
      <c r="J86" s="10" t="s">
        <v>57</v>
      </c>
      <c r="K86" s="10" t="s">
        <v>58</v>
      </c>
      <c r="L86" s="10" t="s">
        <v>395</v>
      </c>
      <c r="M86" s="9">
        <v>2</v>
      </c>
      <c r="N86" s="10" t="s">
        <v>38</v>
      </c>
      <c r="O86" s="12">
        <v>35300</v>
      </c>
      <c r="P86" s="12">
        <v>0</v>
      </c>
      <c r="Q86" s="13">
        <f t="shared" si="6"/>
        <v>35300</v>
      </c>
      <c r="R86" s="44">
        <v>37300</v>
      </c>
      <c r="S86" s="55">
        <f>R86-Q86</f>
        <v>2000</v>
      </c>
      <c r="T86" s="45"/>
      <c r="U86" s="45"/>
      <c r="V86" s="46"/>
      <c r="W86" s="46" t="s">
        <v>41</v>
      </c>
      <c r="X86" s="47">
        <v>0</v>
      </c>
      <c r="Y86" s="47">
        <v>35300</v>
      </c>
      <c r="Z86" s="48" t="s">
        <v>334</v>
      </c>
    </row>
    <row r="87" spans="1:26">
      <c r="A87" s="24">
        <v>43</v>
      </c>
      <c r="B87" s="25" t="s">
        <v>396</v>
      </c>
      <c r="C87" s="25" t="s">
        <v>146</v>
      </c>
      <c r="D87" s="26">
        <v>46213</v>
      </c>
      <c r="E87" s="25"/>
      <c r="F87" s="25" t="s">
        <v>238</v>
      </c>
      <c r="G87" s="25" t="s">
        <v>32</v>
      </c>
      <c r="H87" s="24" t="s">
        <v>239</v>
      </c>
      <c r="I87" s="25" t="s">
        <v>240</v>
      </c>
      <c r="J87" s="25" t="s">
        <v>47</v>
      </c>
      <c r="K87" s="25" t="s">
        <v>58</v>
      </c>
      <c r="L87" s="25" t="s">
        <v>397</v>
      </c>
      <c r="M87" s="24">
        <v>1</v>
      </c>
      <c r="N87" s="25" t="s">
        <v>38</v>
      </c>
      <c r="O87" s="27">
        <v>5300</v>
      </c>
      <c r="P87" s="27">
        <v>1000</v>
      </c>
      <c r="Q87" s="28">
        <f t="shared" si="6"/>
        <v>6300</v>
      </c>
      <c r="R87" s="39"/>
      <c r="S87" s="39"/>
      <c r="T87" s="29"/>
      <c r="U87" s="29"/>
      <c r="V87" s="31"/>
      <c r="W87" s="9" t="s">
        <v>41</v>
      </c>
      <c r="X87" s="32">
        <v>5300</v>
      </c>
      <c r="Y87" s="32">
        <v>0</v>
      </c>
      <c r="Z87" s="33"/>
    </row>
    <row r="88" spans="1:26">
      <c r="A88" s="9">
        <v>44</v>
      </c>
      <c r="B88" s="10" t="s">
        <v>320</v>
      </c>
      <c r="C88" s="10" t="s">
        <v>371</v>
      </c>
      <c r="D88" s="11">
        <v>46217</v>
      </c>
      <c r="E88" s="58"/>
      <c r="F88" s="10" t="s">
        <v>321</v>
      </c>
      <c r="G88" s="10" t="s">
        <v>32</v>
      </c>
      <c r="H88" s="9" t="s">
        <v>322</v>
      </c>
      <c r="I88" s="10" t="s">
        <v>323</v>
      </c>
      <c r="J88" s="10" t="s">
        <v>35</v>
      </c>
      <c r="K88" s="10" t="s">
        <v>58</v>
      </c>
      <c r="L88" s="10" t="s">
        <v>398</v>
      </c>
      <c r="M88" s="9">
        <v>1</v>
      </c>
      <c r="N88" s="10" t="s">
        <v>38</v>
      </c>
      <c r="O88" s="12">
        <v>3100</v>
      </c>
      <c r="P88" s="12">
        <v>1000</v>
      </c>
      <c r="Q88" s="13">
        <f t="shared" si="6"/>
        <v>4100</v>
      </c>
      <c r="R88" s="59">
        <v>6100</v>
      </c>
      <c r="S88" s="55">
        <f>R88-Q88</f>
        <v>2000</v>
      </c>
      <c r="T88" s="60"/>
      <c r="U88" s="60"/>
      <c r="V88" s="60"/>
      <c r="W88" s="61" t="s">
        <v>41</v>
      </c>
      <c r="X88" s="47">
        <v>3100</v>
      </c>
      <c r="Y88" s="47">
        <v>0</v>
      </c>
      <c r="Z88" s="48" t="s">
        <v>399</v>
      </c>
    </row>
    <row r="89" spans="1:26">
      <c r="A89" s="24">
        <v>45</v>
      </c>
      <c r="B89" s="25" t="s">
        <v>320</v>
      </c>
      <c r="C89" s="25" t="s">
        <v>371</v>
      </c>
      <c r="D89" s="26">
        <v>46218</v>
      </c>
      <c r="E89" s="62"/>
      <c r="F89" s="25" t="s">
        <v>317</v>
      </c>
      <c r="G89" s="25" t="s">
        <v>54</v>
      </c>
      <c r="H89" s="24">
        <v>6</v>
      </c>
      <c r="I89" s="25" t="s">
        <v>400</v>
      </c>
      <c r="J89" s="25" t="s">
        <v>88</v>
      </c>
      <c r="K89" s="25" t="s">
        <v>58</v>
      </c>
      <c r="L89" s="25" t="s">
        <v>319</v>
      </c>
      <c r="M89" s="24">
        <v>1</v>
      </c>
      <c r="N89" s="25" t="s">
        <v>38</v>
      </c>
      <c r="O89" s="27">
        <v>3375</v>
      </c>
      <c r="P89" s="27">
        <v>1000</v>
      </c>
      <c r="Q89" s="28">
        <f t="shared" si="6"/>
        <v>4375</v>
      </c>
      <c r="R89" s="63"/>
      <c r="S89" s="63"/>
      <c r="T89" s="64"/>
      <c r="U89" s="64"/>
      <c r="V89" s="64"/>
      <c r="W89" s="65" t="s">
        <v>41</v>
      </c>
      <c r="X89" s="12">
        <v>3375</v>
      </c>
      <c r="Y89" s="32">
        <v>0</v>
      </c>
      <c r="Z89" s="33"/>
    </row>
    <row r="90" spans="1:26">
      <c r="A90" s="9">
        <v>46</v>
      </c>
      <c r="B90" s="10" t="s">
        <v>320</v>
      </c>
      <c r="C90" s="10" t="s">
        <v>371</v>
      </c>
      <c r="D90" s="11">
        <v>46218</v>
      </c>
      <c r="E90" s="58"/>
      <c r="F90" s="66" t="s">
        <v>401</v>
      </c>
      <c r="G90" s="10" t="s">
        <v>32</v>
      </c>
      <c r="H90" s="9" t="s">
        <v>402</v>
      </c>
      <c r="I90" s="10" t="s">
        <v>403</v>
      </c>
      <c r="J90" s="10" t="s">
        <v>115</v>
      </c>
      <c r="K90" s="10" t="s">
        <v>58</v>
      </c>
      <c r="L90" s="10" t="s">
        <v>404</v>
      </c>
      <c r="M90" s="9">
        <v>1</v>
      </c>
      <c r="N90" s="10" t="s">
        <v>38</v>
      </c>
      <c r="O90" s="12">
        <v>5500</v>
      </c>
      <c r="P90" s="12">
        <v>1000</v>
      </c>
      <c r="Q90" s="13">
        <f t="shared" si="6"/>
        <v>6500</v>
      </c>
      <c r="R90" s="39"/>
      <c r="S90" s="39"/>
      <c r="T90" s="29"/>
      <c r="U90" s="29"/>
      <c r="V90" s="31"/>
      <c r="W90" s="65" t="s">
        <v>41</v>
      </c>
      <c r="X90" s="32"/>
      <c r="Y90" s="32"/>
      <c r="Z90" s="33"/>
    </row>
    <row r="91" spans="1:26">
      <c r="A91" s="24">
        <v>47</v>
      </c>
      <c r="B91" s="25" t="s">
        <v>405</v>
      </c>
      <c r="C91" s="25" t="s">
        <v>371</v>
      </c>
      <c r="D91" s="26">
        <v>46219</v>
      </c>
      <c r="E91" s="62"/>
      <c r="F91" s="25" t="s">
        <v>372</v>
      </c>
      <c r="G91" s="25" t="s">
        <v>32</v>
      </c>
      <c r="H91" s="24" t="s">
        <v>373</v>
      </c>
      <c r="I91" s="25" t="s">
        <v>406</v>
      </c>
      <c r="J91" s="25" t="s">
        <v>47</v>
      </c>
      <c r="K91" s="25" t="s">
        <v>407</v>
      </c>
      <c r="L91" s="25" t="s">
        <v>408</v>
      </c>
      <c r="M91" s="24">
        <v>5</v>
      </c>
      <c r="N91" s="25" t="s">
        <v>38</v>
      </c>
      <c r="O91" s="27">
        <v>24150</v>
      </c>
      <c r="P91" s="27">
        <v>1000</v>
      </c>
      <c r="Q91" s="28">
        <f t="shared" si="6"/>
        <v>25150</v>
      </c>
      <c r="R91" s="34"/>
      <c r="S91" s="34"/>
      <c r="T91" s="36"/>
      <c r="U91" s="36"/>
      <c r="V91" s="37"/>
      <c r="W91" s="65" t="s">
        <v>41</v>
      </c>
      <c r="X91" s="38"/>
      <c r="Y91" s="38"/>
      <c r="Z91" s="57"/>
    </row>
    <row r="92" spans="1:26">
      <c r="A92" s="9">
        <v>48</v>
      </c>
      <c r="B92" s="10" t="s">
        <v>130</v>
      </c>
      <c r="C92" s="10" t="s">
        <v>371</v>
      </c>
      <c r="D92" s="11">
        <v>46220</v>
      </c>
      <c r="E92" s="58"/>
      <c r="F92" s="10" t="s">
        <v>321</v>
      </c>
      <c r="G92" s="10" t="s">
        <v>32</v>
      </c>
      <c r="H92" s="9" t="s">
        <v>409</v>
      </c>
      <c r="I92" s="10" t="s">
        <v>323</v>
      </c>
      <c r="J92" s="10" t="s">
        <v>35</v>
      </c>
      <c r="K92" s="10" t="s">
        <v>58</v>
      </c>
      <c r="L92" s="10" t="s">
        <v>410</v>
      </c>
      <c r="M92" s="9">
        <v>1</v>
      </c>
      <c r="N92" s="10" t="s">
        <v>38</v>
      </c>
      <c r="O92" s="12">
        <v>1750</v>
      </c>
      <c r="P92" s="12">
        <v>1000</v>
      </c>
      <c r="Q92" s="13">
        <f t="shared" si="6"/>
        <v>2750</v>
      </c>
      <c r="R92" s="39"/>
      <c r="S92" s="39"/>
      <c r="T92" s="29"/>
      <c r="U92" s="29"/>
      <c r="V92" s="31"/>
      <c r="W92" s="65" t="s">
        <v>41</v>
      </c>
      <c r="X92" s="32"/>
      <c r="Y92" s="32"/>
      <c r="Z92" s="33"/>
    </row>
    <row r="93" spans="1:26">
      <c r="A93" s="24">
        <v>49</v>
      </c>
      <c r="B93" s="25" t="s">
        <v>411</v>
      </c>
      <c r="C93" s="25" t="s">
        <v>371</v>
      </c>
      <c r="D93" s="26">
        <v>46221</v>
      </c>
      <c r="E93" s="25"/>
      <c r="F93" s="25" t="s">
        <v>243</v>
      </c>
      <c r="G93" s="25" t="s">
        <v>54</v>
      </c>
      <c r="H93" s="24" t="s">
        <v>412</v>
      </c>
      <c r="I93" s="67" t="s">
        <v>413</v>
      </c>
      <c r="J93" s="25" t="s">
        <v>47</v>
      </c>
      <c r="K93" s="25" t="s">
        <v>77</v>
      </c>
      <c r="L93" s="25" t="s">
        <v>414</v>
      </c>
      <c r="M93" s="24">
        <v>1</v>
      </c>
      <c r="N93" s="25" t="s">
        <v>38</v>
      </c>
      <c r="O93" s="27">
        <v>2150</v>
      </c>
      <c r="P93" s="27">
        <v>1000</v>
      </c>
      <c r="Q93" s="28">
        <f t="shared" si="6"/>
        <v>3150</v>
      </c>
      <c r="R93" s="44">
        <v>5150</v>
      </c>
      <c r="S93" s="55">
        <f>R93-Q93</f>
        <v>2000</v>
      </c>
      <c r="T93" s="45"/>
      <c r="U93" s="45"/>
      <c r="V93" s="46"/>
      <c r="W93" s="68" t="s">
        <v>415</v>
      </c>
      <c r="X93" s="47"/>
      <c r="Y93" s="47">
        <v>0</v>
      </c>
      <c r="Z93" s="48" t="s">
        <v>416</v>
      </c>
    </row>
    <row r="94" spans="1:26">
      <c r="A94" s="9">
        <v>50</v>
      </c>
      <c r="B94" s="10" t="s">
        <v>417</v>
      </c>
      <c r="C94" s="10" t="s">
        <v>371</v>
      </c>
      <c r="D94" s="11">
        <v>46224</v>
      </c>
      <c r="E94" s="10"/>
      <c r="F94" s="10" t="s">
        <v>243</v>
      </c>
      <c r="G94" s="10" t="s">
        <v>54</v>
      </c>
      <c r="H94" s="9" t="s">
        <v>412</v>
      </c>
      <c r="I94" s="66" t="s">
        <v>413</v>
      </c>
      <c r="J94" s="10" t="s">
        <v>47</v>
      </c>
      <c r="K94" s="10" t="s">
        <v>58</v>
      </c>
      <c r="L94" s="10" t="s">
        <v>418</v>
      </c>
      <c r="M94" s="9">
        <v>1</v>
      </c>
      <c r="N94" s="10" t="s">
        <v>38</v>
      </c>
      <c r="O94" s="12">
        <v>3550</v>
      </c>
      <c r="P94" s="12">
        <v>1000</v>
      </c>
      <c r="Q94" s="13">
        <f t="shared" si="6"/>
        <v>4550</v>
      </c>
      <c r="R94" s="34"/>
      <c r="S94" s="34"/>
      <c r="T94" s="36"/>
      <c r="U94" s="36"/>
      <c r="V94" s="37"/>
      <c r="W94" s="65" t="s">
        <v>41</v>
      </c>
      <c r="X94" s="38"/>
      <c r="Y94" s="38">
        <v>0</v>
      </c>
      <c r="Z94" s="33"/>
    </row>
    <row r="95" spans="1:26">
      <c r="A95" s="24">
        <v>51</v>
      </c>
      <c r="B95" s="25" t="s">
        <v>419</v>
      </c>
      <c r="C95" s="25" t="s">
        <v>371</v>
      </c>
      <c r="D95" s="26">
        <v>46227</v>
      </c>
      <c r="E95" s="25"/>
      <c r="F95" s="25" t="s">
        <v>420</v>
      </c>
      <c r="G95" s="25" t="s">
        <v>54</v>
      </c>
      <c r="H95" s="24" t="s">
        <v>367</v>
      </c>
      <c r="I95" s="25" t="s">
        <v>421</v>
      </c>
      <c r="J95" s="25" t="s">
        <v>35</v>
      </c>
      <c r="K95" s="25" t="s">
        <v>58</v>
      </c>
      <c r="L95" s="25" t="s">
        <v>422</v>
      </c>
      <c r="M95" s="24">
        <v>1</v>
      </c>
      <c r="N95" s="25" t="s">
        <v>38</v>
      </c>
      <c r="O95" s="27">
        <v>4000</v>
      </c>
      <c r="P95" s="27">
        <v>1000</v>
      </c>
      <c r="Q95" s="28">
        <f t="shared" si="6"/>
        <v>5000</v>
      </c>
      <c r="R95" s="34"/>
      <c r="S95" s="34"/>
      <c r="T95" s="36"/>
      <c r="U95" s="36"/>
      <c r="V95" s="37"/>
      <c r="W95" s="65" t="s">
        <v>41</v>
      </c>
      <c r="X95" s="38"/>
      <c r="Y95" s="38">
        <v>0</v>
      </c>
      <c r="Z95" s="33"/>
    </row>
    <row r="96" spans="1:26">
      <c r="A96" s="9">
        <v>52</v>
      </c>
      <c r="B96" s="10" t="s">
        <v>423</v>
      </c>
      <c r="C96" s="10" t="s">
        <v>371</v>
      </c>
      <c r="D96" s="11">
        <v>46228</v>
      </c>
      <c r="E96" s="10"/>
      <c r="F96" s="10" t="s">
        <v>238</v>
      </c>
      <c r="G96" s="10" t="s">
        <v>32</v>
      </c>
      <c r="H96" s="9" t="s">
        <v>424</v>
      </c>
      <c r="I96" s="10" t="s">
        <v>425</v>
      </c>
      <c r="J96" s="10" t="s">
        <v>47</v>
      </c>
      <c r="K96" s="10" t="s">
        <v>58</v>
      </c>
      <c r="L96" s="10" t="s">
        <v>426</v>
      </c>
      <c r="M96" s="9">
        <v>1</v>
      </c>
      <c r="N96" s="10" t="s">
        <v>38</v>
      </c>
      <c r="O96" s="12">
        <v>19500</v>
      </c>
      <c r="P96" s="12">
        <v>1000</v>
      </c>
      <c r="Q96" s="13">
        <f t="shared" si="6"/>
        <v>20500</v>
      </c>
      <c r="R96" s="34"/>
      <c r="S96" s="34"/>
      <c r="T96" s="36"/>
      <c r="U96" s="36"/>
      <c r="V96" s="37"/>
      <c r="W96" s="65" t="s">
        <v>41</v>
      </c>
      <c r="X96" s="38"/>
      <c r="Y96" s="38">
        <v>0</v>
      </c>
      <c r="Z96" s="33"/>
    </row>
    <row r="97" spans="1:26">
      <c r="A97" s="24">
        <v>53</v>
      </c>
      <c r="B97" s="25" t="s">
        <v>427</v>
      </c>
      <c r="C97" s="25" t="s">
        <v>371</v>
      </c>
      <c r="D97" s="26">
        <v>46228</v>
      </c>
      <c r="E97" s="25"/>
      <c r="F97" s="25" t="s">
        <v>420</v>
      </c>
      <c r="G97" s="25" t="s">
        <v>54</v>
      </c>
      <c r="H97" s="24" t="s">
        <v>367</v>
      </c>
      <c r="I97" s="25" t="s">
        <v>403</v>
      </c>
      <c r="J97" s="25" t="s">
        <v>115</v>
      </c>
      <c r="K97" s="25" t="s">
        <v>58</v>
      </c>
      <c r="L97" s="25" t="s">
        <v>428</v>
      </c>
      <c r="M97" s="24">
        <v>1</v>
      </c>
      <c r="N97" s="25" t="s">
        <v>38</v>
      </c>
      <c r="O97" s="27">
        <v>6450</v>
      </c>
      <c r="P97" s="27">
        <v>1000</v>
      </c>
      <c r="Q97" s="28">
        <f t="shared" si="6"/>
        <v>7450</v>
      </c>
      <c r="R97" s="69"/>
      <c r="S97" s="69"/>
      <c r="T97" s="70"/>
      <c r="U97" s="70"/>
      <c r="V97" s="71"/>
      <c r="W97" s="72" t="s">
        <v>41</v>
      </c>
      <c r="X97" s="73"/>
      <c r="Y97" s="73">
        <v>0</v>
      </c>
      <c r="Z97" s="74"/>
    </row>
    <row r="98" spans="1:26">
      <c r="A98" s="9">
        <v>54</v>
      </c>
      <c r="B98" s="10" t="s">
        <v>429</v>
      </c>
      <c r="C98" s="10" t="s">
        <v>430</v>
      </c>
      <c r="D98" s="11">
        <v>46230</v>
      </c>
      <c r="E98" s="10"/>
      <c r="F98" s="10" t="s">
        <v>431</v>
      </c>
      <c r="G98" s="10" t="s">
        <v>54</v>
      </c>
      <c r="H98" s="9"/>
      <c r="I98" s="10" t="s">
        <v>421</v>
      </c>
      <c r="J98" s="10" t="s">
        <v>35</v>
      </c>
      <c r="K98" s="10" t="s">
        <v>58</v>
      </c>
      <c r="L98" s="10" t="s">
        <v>432</v>
      </c>
      <c r="M98" s="9">
        <v>1</v>
      </c>
      <c r="N98" s="10" t="s">
        <v>38</v>
      </c>
      <c r="O98" s="12">
        <v>2200</v>
      </c>
      <c r="P98" s="12">
        <v>0</v>
      </c>
      <c r="Q98" s="13">
        <f t="shared" si="6"/>
        <v>2200</v>
      </c>
      <c r="R98" s="44">
        <v>2700</v>
      </c>
      <c r="S98" s="55">
        <f>R98-Q98</f>
        <v>500</v>
      </c>
      <c r="T98" s="45"/>
      <c r="U98" s="45"/>
      <c r="V98" s="46"/>
      <c r="W98" s="61" t="s">
        <v>41</v>
      </c>
      <c r="X98" s="75"/>
      <c r="Y98" s="75"/>
      <c r="Z98" s="48" t="s">
        <v>334</v>
      </c>
    </row>
    <row r="99" spans="1:26">
      <c r="A99" s="24">
        <v>55</v>
      </c>
      <c r="B99" s="25" t="s">
        <v>433</v>
      </c>
      <c r="C99" s="25" t="s">
        <v>430</v>
      </c>
      <c r="D99" s="26">
        <v>46231</v>
      </c>
      <c r="E99" s="25"/>
      <c r="F99" s="25" t="s">
        <v>243</v>
      </c>
      <c r="G99" s="25" t="s">
        <v>54</v>
      </c>
      <c r="H99" s="24" t="s">
        <v>412</v>
      </c>
      <c r="I99" s="67" t="s">
        <v>413</v>
      </c>
      <c r="J99" s="25" t="s">
        <v>47</v>
      </c>
      <c r="K99" s="25" t="s">
        <v>58</v>
      </c>
      <c r="L99" s="25" t="s">
        <v>418</v>
      </c>
      <c r="M99" s="24">
        <v>1</v>
      </c>
      <c r="N99" s="25" t="s">
        <v>38</v>
      </c>
      <c r="O99" s="27">
        <v>3550</v>
      </c>
      <c r="P99" s="27">
        <v>1000</v>
      </c>
      <c r="Q99" s="28">
        <f t="shared" si="6"/>
        <v>4550</v>
      </c>
      <c r="R99" s="34"/>
      <c r="S99" s="34"/>
      <c r="T99" s="36"/>
      <c r="U99" s="36"/>
      <c r="V99" s="37"/>
      <c r="W99" s="65" t="s">
        <v>41</v>
      </c>
      <c r="X99" s="1"/>
      <c r="Y99" s="1"/>
      <c r="Z99" s="33"/>
    </row>
    <row r="100" spans="1:26">
      <c r="A100" s="9">
        <v>56</v>
      </c>
      <c r="B100" s="10" t="s">
        <v>434</v>
      </c>
      <c r="C100" s="10" t="s">
        <v>430</v>
      </c>
      <c r="D100" s="11">
        <v>46231</v>
      </c>
      <c r="E100" s="10"/>
      <c r="F100" s="10" t="s">
        <v>253</v>
      </c>
      <c r="G100" s="10" t="s">
        <v>54</v>
      </c>
      <c r="H100" s="9"/>
      <c r="I100" s="10" t="s">
        <v>255</v>
      </c>
      <c r="J100" s="10" t="s">
        <v>35</v>
      </c>
      <c r="K100" s="10" t="s">
        <v>58</v>
      </c>
      <c r="L100" s="10" t="s">
        <v>435</v>
      </c>
      <c r="M100" s="9">
        <v>3</v>
      </c>
      <c r="N100" s="10" t="s">
        <v>38</v>
      </c>
      <c r="O100" s="12">
        <v>16000</v>
      </c>
      <c r="P100" s="12">
        <v>1000</v>
      </c>
      <c r="Q100" s="13">
        <f t="shared" si="6"/>
        <v>17000</v>
      </c>
      <c r="R100" s="76"/>
      <c r="S100" s="76"/>
      <c r="T100" s="1"/>
      <c r="U100" s="1"/>
      <c r="V100" s="1"/>
      <c r="W100" s="65" t="s">
        <v>41</v>
      </c>
      <c r="X100" s="1"/>
      <c r="Y100" s="1"/>
      <c r="Z100" s="33"/>
    </row>
    <row r="101" spans="1:26">
      <c r="A101" s="24">
        <v>57</v>
      </c>
      <c r="B101" s="25" t="s">
        <v>436</v>
      </c>
      <c r="C101" s="25" t="s">
        <v>430</v>
      </c>
      <c r="D101" s="26">
        <v>46231</v>
      </c>
      <c r="E101" s="25"/>
      <c r="F101" s="25" t="s">
        <v>437</v>
      </c>
      <c r="G101" s="25" t="s">
        <v>54</v>
      </c>
      <c r="H101" s="24"/>
      <c r="I101" s="25" t="s">
        <v>421</v>
      </c>
      <c r="J101" s="25" t="s">
        <v>35</v>
      </c>
      <c r="K101" s="25" t="s">
        <v>58</v>
      </c>
      <c r="L101" s="25" t="s">
        <v>438</v>
      </c>
      <c r="M101" s="24">
        <v>3</v>
      </c>
      <c r="N101" s="25" t="s">
        <v>38</v>
      </c>
      <c r="O101" s="27">
        <v>10500</v>
      </c>
      <c r="P101" s="27">
        <v>1000</v>
      </c>
      <c r="Q101" s="28">
        <f t="shared" si="6"/>
        <v>11500</v>
      </c>
      <c r="R101" s="76"/>
      <c r="S101" s="76"/>
      <c r="T101" s="1"/>
      <c r="U101" s="1"/>
      <c r="V101" s="1"/>
      <c r="W101" s="65" t="s">
        <v>41</v>
      </c>
      <c r="X101" s="1"/>
      <c r="Y101" s="1"/>
      <c r="Z101" s="33"/>
    </row>
    <row r="102" spans="1:26">
      <c r="A102" s="9">
        <v>58</v>
      </c>
      <c r="B102" s="10" t="s">
        <v>439</v>
      </c>
      <c r="C102" s="10" t="s">
        <v>430</v>
      </c>
      <c r="D102" s="11">
        <v>46232</v>
      </c>
      <c r="E102" s="10"/>
      <c r="F102" s="10" t="s">
        <v>437</v>
      </c>
      <c r="G102" s="10" t="s">
        <v>54</v>
      </c>
      <c r="H102" s="9"/>
      <c r="I102" s="10" t="s">
        <v>421</v>
      </c>
      <c r="J102" s="10" t="s">
        <v>35</v>
      </c>
      <c r="K102" s="10" t="s">
        <v>58</v>
      </c>
      <c r="L102" s="10" t="s">
        <v>440</v>
      </c>
      <c r="M102" s="9">
        <v>1</v>
      </c>
      <c r="N102" s="10" t="s">
        <v>38</v>
      </c>
      <c r="O102" s="12">
        <v>4350</v>
      </c>
      <c r="P102" s="12">
        <v>1000</v>
      </c>
      <c r="Q102" s="13">
        <f t="shared" si="6"/>
        <v>5350</v>
      </c>
      <c r="R102" s="76"/>
      <c r="S102" s="76"/>
      <c r="T102" s="1"/>
      <c r="U102" s="1"/>
      <c r="V102" s="1"/>
      <c r="W102" s="65" t="s">
        <v>41</v>
      </c>
      <c r="X102" s="1"/>
      <c r="Y102" s="1"/>
      <c r="Z102" s="33"/>
    </row>
    <row r="103" spans="1:26">
      <c r="A103" s="24">
        <v>59</v>
      </c>
      <c r="B103" s="25" t="s">
        <v>441</v>
      </c>
      <c r="C103" s="25" t="s">
        <v>430</v>
      </c>
      <c r="D103" s="26">
        <v>46233</v>
      </c>
      <c r="E103" s="25"/>
      <c r="F103" s="25" t="s">
        <v>442</v>
      </c>
      <c r="G103" s="25" t="s">
        <v>54</v>
      </c>
      <c r="H103" s="24" t="s">
        <v>443</v>
      </c>
      <c r="I103" s="25" t="s">
        <v>444</v>
      </c>
      <c r="J103" s="25" t="s">
        <v>35</v>
      </c>
      <c r="K103" s="25" t="s">
        <v>36</v>
      </c>
      <c r="L103" s="25" t="s">
        <v>445</v>
      </c>
      <c r="M103" s="24">
        <v>1</v>
      </c>
      <c r="N103" s="25" t="s">
        <v>38</v>
      </c>
      <c r="O103" s="27">
        <v>8525</v>
      </c>
      <c r="P103" s="27">
        <v>1000</v>
      </c>
      <c r="Q103" s="28">
        <f t="shared" si="6"/>
        <v>9525</v>
      </c>
      <c r="R103" s="77">
        <v>10025</v>
      </c>
      <c r="S103" s="77">
        <f t="shared" ref="S103:S105" si="7">R103-Q103</f>
        <v>500</v>
      </c>
      <c r="T103" s="75"/>
      <c r="U103" s="75"/>
      <c r="V103" s="75"/>
      <c r="W103" s="61" t="s">
        <v>41</v>
      </c>
      <c r="X103" s="75"/>
      <c r="Y103" s="75"/>
      <c r="Z103" s="78" t="s">
        <v>446</v>
      </c>
    </row>
    <row r="104" spans="1:26">
      <c r="A104" s="9">
        <v>60</v>
      </c>
      <c r="B104" s="10" t="s">
        <v>447</v>
      </c>
      <c r="C104" s="10"/>
      <c r="D104" s="11">
        <v>46238</v>
      </c>
      <c r="E104" s="10"/>
      <c r="F104" s="10" t="s">
        <v>448</v>
      </c>
      <c r="G104" s="10" t="s">
        <v>54</v>
      </c>
      <c r="H104" s="9"/>
      <c r="I104" s="10" t="s">
        <v>234</v>
      </c>
      <c r="J104" s="10" t="s">
        <v>173</v>
      </c>
      <c r="K104" s="10" t="s">
        <v>58</v>
      </c>
      <c r="L104" s="10" t="s">
        <v>449</v>
      </c>
      <c r="M104" s="9">
        <v>1</v>
      </c>
      <c r="N104" s="10" t="s">
        <v>38</v>
      </c>
      <c r="O104" s="12"/>
      <c r="P104" s="12">
        <v>1000</v>
      </c>
      <c r="Q104" s="13">
        <f t="shared" si="6"/>
        <v>1000</v>
      </c>
      <c r="R104" s="77">
        <v>2000</v>
      </c>
      <c r="S104" s="77">
        <f t="shared" si="7"/>
        <v>1000</v>
      </c>
      <c r="T104" s="75"/>
      <c r="U104" s="75"/>
      <c r="V104" s="75"/>
      <c r="W104" s="61" t="s">
        <v>41</v>
      </c>
      <c r="X104" s="75"/>
      <c r="Y104" s="75"/>
      <c r="Z104" s="78" t="s">
        <v>450</v>
      </c>
    </row>
    <row r="105" spans="1:26">
      <c r="A105" s="24">
        <v>62</v>
      </c>
      <c r="B105" s="25" t="s">
        <v>451</v>
      </c>
      <c r="C105" s="62"/>
      <c r="D105" s="79">
        <v>46239</v>
      </c>
      <c r="E105" s="62"/>
      <c r="F105" s="25" t="s">
        <v>452</v>
      </c>
      <c r="G105" s="25" t="s">
        <v>54</v>
      </c>
      <c r="H105" s="62"/>
      <c r="I105" s="25" t="s">
        <v>453</v>
      </c>
      <c r="J105" s="25" t="s">
        <v>115</v>
      </c>
      <c r="K105" s="25" t="s">
        <v>454</v>
      </c>
      <c r="L105" s="25" t="s">
        <v>455</v>
      </c>
      <c r="M105" s="24">
        <v>1</v>
      </c>
      <c r="N105" s="25" t="s">
        <v>38</v>
      </c>
      <c r="O105" s="80">
        <v>3550</v>
      </c>
      <c r="P105" s="80">
        <v>1000</v>
      </c>
      <c r="Q105" s="81">
        <f t="shared" si="6"/>
        <v>4550</v>
      </c>
      <c r="R105" s="82">
        <v>5050</v>
      </c>
      <c r="S105" s="82">
        <f t="shared" si="7"/>
        <v>500</v>
      </c>
      <c r="T105" s="75"/>
      <c r="U105" s="75"/>
      <c r="V105" s="75"/>
      <c r="W105" s="61" t="s">
        <v>41</v>
      </c>
      <c r="X105" s="75"/>
      <c r="Y105" s="75"/>
      <c r="Z105" s="78" t="s">
        <v>456</v>
      </c>
    </row>
    <row r="106" spans="1:26">
      <c r="A106" s="9">
        <v>61</v>
      </c>
      <c r="B106" s="10" t="s">
        <v>457</v>
      </c>
      <c r="C106" s="10"/>
      <c r="D106" s="11">
        <v>46239</v>
      </c>
      <c r="E106" s="10"/>
      <c r="F106" s="10" t="s">
        <v>243</v>
      </c>
      <c r="G106" s="10" t="s">
        <v>54</v>
      </c>
      <c r="H106" s="9" t="s">
        <v>412</v>
      </c>
      <c r="I106" s="10" t="s">
        <v>413</v>
      </c>
      <c r="J106" s="10" t="s">
        <v>47</v>
      </c>
      <c r="K106" s="10" t="s">
        <v>36</v>
      </c>
      <c r="L106" s="10" t="s">
        <v>458</v>
      </c>
      <c r="M106" s="9">
        <v>2</v>
      </c>
      <c r="N106" s="10" t="s">
        <v>38</v>
      </c>
      <c r="O106" s="83">
        <v>11200</v>
      </c>
      <c r="P106" s="83">
        <v>1000</v>
      </c>
      <c r="Q106" s="84">
        <f t="shared" si="6"/>
        <v>12200</v>
      </c>
      <c r="R106" s="85"/>
      <c r="S106" s="85"/>
      <c r="T106" s="86"/>
      <c r="U106" s="86"/>
      <c r="V106" s="86"/>
      <c r="W106" s="65" t="s">
        <v>41</v>
      </c>
      <c r="X106" s="86"/>
      <c r="Y106" s="86"/>
      <c r="Z106" s="87"/>
    </row>
    <row r="107" spans="1:26">
      <c r="A107" s="24">
        <v>62</v>
      </c>
      <c r="B107" s="25" t="s">
        <v>459</v>
      </c>
      <c r="C107" s="25"/>
      <c r="D107" s="26">
        <v>46239</v>
      </c>
      <c r="E107" s="25"/>
      <c r="F107" s="25" t="s">
        <v>452</v>
      </c>
      <c r="G107" s="25" t="s">
        <v>54</v>
      </c>
      <c r="H107" s="24"/>
      <c r="I107" s="25" t="s">
        <v>453</v>
      </c>
      <c r="J107" s="25" t="s">
        <v>115</v>
      </c>
      <c r="K107" s="25" t="s">
        <v>454</v>
      </c>
      <c r="L107" s="25" t="s">
        <v>455</v>
      </c>
      <c r="M107" s="24">
        <v>1</v>
      </c>
      <c r="N107" s="25" t="s">
        <v>38</v>
      </c>
      <c r="O107" s="27">
        <v>3550</v>
      </c>
      <c r="P107" s="27">
        <v>1000</v>
      </c>
      <c r="Q107" s="28">
        <f t="shared" si="6"/>
        <v>4550</v>
      </c>
      <c r="R107" s="77">
        <v>5050</v>
      </c>
      <c r="S107" s="77">
        <f>R107-Q107</f>
        <v>500</v>
      </c>
      <c r="T107" s="75"/>
      <c r="U107" s="75"/>
      <c r="V107" s="75"/>
      <c r="W107" s="61" t="s">
        <v>41</v>
      </c>
      <c r="X107" s="75"/>
      <c r="Y107" s="75"/>
      <c r="Z107" s="78" t="s">
        <v>456</v>
      </c>
    </row>
    <row r="108" spans="1:26">
      <c r="A108" s="9">
        <v>63</v>
      </c>
      <c r="B108" s="10" t="s">
        <v>460</v>
      </c>
      <c r="C108" s="10"/>
      <c r="D108" s="11">
        <v>46242</v>
      </c>
      <c r="E108" s="10"/>
      <c r="F108" s="10" t="s">
        <v>243</v>
      </c>
      <c r="G108" s="10" t="s">
        <v>54</v>
      </c>
      <c r="H108" s="9" t="s">
        <v>412</v>
      </c>
      <c r="I108" s="10" t="s">
        <v>413</v>
      </c>
      <c r="J108" s="10" t="s">
        <v>47</v>
      </c>
      <c r="K108" s="10" t="s">
        <v>58</v>
      </c>
      <c r="L108" s="10" t="s">
        <v>418</v>
      </c>
      <c r="M108" s="9">
        <v>1</v>
      </c>
      <c r="N108" s="10" t="s">
        <v>38</v>
      </c>
      <c r="O108" s="12">
        <v>3550</v>
      </c>
      <c r="P108" s="12">
        <v>1000</v>
      </c>
      <c r="Q108" s="13">
        <f t="shared" si="6"/>
        <v>4550</v>
      </c>
      <c r="R108" s="88"/>
      <c r="S108" s="88"/>
      <c r="T108" s="86"/>
      <c r="U108" s="86"/>
      <c r="V108" s="86"/>
      <c r="W108" s="65" t="s">
        <v>41</v>
      </c>
      <c r="X108" s="86"/>
      <c r="Y108" s="86"/>
      <c r="Z108" s="87"/>
    </row>
    <row r="109" spans="1:26">
      <c r="A109" s="24">
        <v>64</v>
      </c>
      <c r="B109" s="25" t="s">
        <v>461</v>
      </c>
      <c r="C109" s="25"/>
      <c r="D109" s="26">
        <v>46242</v>
      </c>
      <c r="E109" s="25"/>
      <c r="F109" s="25" t="s">
        <v>462</v>
      </c>
      <c r="G109" s="25" t="s">
        <v>54</v>
      </c>
      <c r="H109" s="24" t="s">
        <v>463</v>
      </c>
      <c r="I109" s="25" t="s">
        <v>464</v>
      </c>
      <c r="J109" s="25" t="s">
        <v>235</v>
      </c>
      <c r="K109" s="25" t="s">
        <v>58</v>
      </c>
      <c r="L109" s="25"/>
      <c r="M109" s="24">
        <v>1</v>
      </c>
      <c r="N109" s="25" t="s">
        <v>38</v>
      </c>
      <c r="O109" s="27">
        <v>9700</v>
      </c>
      <c r="P109" s="27">
        <v>1000</v>
      </c>
      <c r="Q109" s="28">
        <f t="shared" si="6"/>
        <v>10700</v>
      </c>
      <c r="R109" s="88"/>
      <c r="S109" s="88"/>
      <c r="T109" s="86"/>
      <c r="U109" s="86"/>
      <c r="V109" s="86"/>
      <c r="W109" s="65" t="s">
        <v>41</v>
      </c>
      <c r="X109" s="86"/>
      <c r="Y109" s="86"/>
      <c r="Z109" s="87"/>
    </row>
    <row r="110" spans="1:26">
      <c r="A110" s="9">
        <v>65</v>
      </c>
      <c r="B110" s="10" t="s">
        <v>465</v>
      </c>
      <c r="C110" s="10"/>
      <c r="D110" s="11">
        <v>46245</v>
      </c>
      <c r="E110" s="10"/>
      <c r="F110" s="10" t="s">
        <v>238</v>
      </c>
      <c r="G110" s="10" t="s">
        <v>32</v>
      </c>
      <c r="H110" s="9" t="s">
        <v>239</v>
      </c>
      <c r="I110" s="10" t="s">
        <v>240</v>
      </c>
      <c r="J110" s="10" t="s">
        <v>47</v>
      </c>
      <c r="K110" s="10" t="s">
        <v>58</v>
      </c>
      <c r="L110" s="10" t="s">
        <v>466</v>
      </c>
      <c r="M110" s="9">
        <v>3</v>
      </c>
      <c r="N110" s="10" t="s">
        <v>38</v>
      </c>
      <c r="O110" s="12">
        <v>84600</v>
      </c>
      <c r="P110" s="12">
        <v>1000</v>
      </c>
      <c r="Q110" s="13">
        <f t="shared" si="6"/>
        <v>85600</v>
      </c>
      <c r="R110" s="88"/>
      <c r="S110" s="88"/>
      <c r="T110" s="86"/>
      <c r="U110" s="86"/>
      <c r="V110" s="86"/>
      <c r="W110" s="65" t="s">
        <v>41</v>
      </c>
      <c r="X110" s="86"/>
      <c r="Y110" s="86"/>
      <c r="Z110" s="87"/>
    </row>
    <row r="111" spans="1:26">
      <c r="A111" s="24">
        <v>66</v>
      </c>
      <c r="B111" s="25" t="s">
        <v>467</v>
      </c>
      <c r="C111" s="25"/>
      <c r="D111" s="26">
        <v>46247</v>
      </c>
      <c r="E111" s="25"/>
      <c r="F111" s="25" t="s">
        <v>372</v>
      </c>
      <c r="G111" s="25" t="s">
        <v>32</v>
      </c>
      <c r="H111" s="24" t="s">
        <v>373</v>
      </c>
      <c r="I111" s="25" t="s">
        <v>468</v>
      </c>
      <c r="J111" s="25" t="s">
        <v>235</v>
      </c>
      <c r="K111" s="25" t="s">
        <v>58</v>
      </c>
      <c r="L111" s="25" t="s">
        <v>469</v>
      </c>
      <c r="M111" s="24">
        <v>3</v>
      </c>
      <c r="N111" s="25" t="s">
        <v>38</v>
      </c>
      <c r="O111" s="27">
        <v>9700</v>
      </c>
      <c r="P111" s="27">
        <v>1000</v>
      </c>
      <c r="Q111" s="28">
        <f t="shared" si="6"/>
        <v>10700</v>
      </c>
      <c r="R111" s="88"/>
      <c r="S111" s="88"/>
      <c r="T111" s="86"/>
      <c r="U111" s="86"/>
      <c r="V111" s="86"/>
      <c r="W111" s="65" t="s">
        <v>41</v>
      </c>
      <c r="X111" s="86"/>
      <c r="Y111" s="86"/>
      <c r="Z111" s="87"/>
    </row>
    <row r="112" spans="1:26">
      <c r="A112" s="9">
        <v>67</v>
      </c>
      <c r="B112" s="10" t="s">
        <v>470</v>
      </c>
      <c r="C112" s="10"/>
      <c r="D112" s="11">
        <v>46249</v>
      </c>
      <c r="E112" s="10"/>
      <c r="F112" s="10" t="s">
        <v>321</v>
      </c>
      <c r="G112" s="10" t="s">
        <v>32</v>
      </c>
      <c r="H112" s="9" t="s">
        <v>409</v>
      </c>
      <c r="I112" s="10" t="s">
        <v>323</v>
      </c>
      <c r="J112" s="10" t="s">
        <v>35</v>
      </c>
      <c r="K112" s="10" t="s">
        <v>58</v>
      </c>
      <c r="L112" s="10" t="s">
        <v>471</v>
      </c>
      <c r="M112" s="9">
        <v>1</v>
      </c>
      <c r="N112" s="10" t="s">
        <v>38</v>
      </c>
      <c r="O112" s="12">
        <v>1500</v>
      </c>
      <c r="P112" s="12">
        <v>1000</v>
      </c>
      <c r="Q112" s="13">
        <f t="shared" si="6"/>
        <v>2500</v>
      </c>
      <c r="R112" s="88"/>
      <c r="S112" s="88"/>
      <c r="T112" s="86"/>
      <c r="U112" s="86"/>
      <c r="V112" s="86"/>
      <c r="W112" s="65" t="s">
        <v>41</v>
      </c>
      <c r="X112" s="86"/>
      <c r="Y112" s="86"/>
      <c r="Z112" s="87"/>
    </row>
    <row r="113" spans="1:26">
      <c r="A113" s="24">
        <v>68</v>
      </c>
      <c r="B113" s="25" t="s">
        <v>472</v>
      </c>
      <c r="C113" s="62"/>
      <c r="D113" s="79">
        <v>46249</v>
      </c>
      <c r="E113" s="62"/>
      <c r="F113" s="25" t="s">
        <v>238</v>
      </c>
      <c r="G113" s="25" t="s">
        <v>32</v>
      </c>
      <c r="H113" s="24" t="s">
        <v>239</v>
      </c>
      <c r="I113" s="25" t="s">
        <v>240</v>
      </c>
      <c r="J113" s="25" t="s">
        <v>47</v>
      </c>
      <c r="K113" s="25" t="s">
        <v>58</v>
      </c>
      <c r="L113" s="25" t="s">
        <v>473</v>
      </c>
      <c r="M113" s="24">
        <v>2</v>
      </c>
      <c r="N113" s="25" t="s">
        <v>38</v>
      </c>
      <c r="O113" s="89">
        <v>4350</v>
      </c>
      <c r="P113" s="80">
        <v>1000</v>
      </c>
      <c r="Q113" s="81">
        <f t="shared" si="6"/>
        <v>5350</v>
      </c>
      <c r="R113" s="88"/>
      <c r="S113" s="88"/>
      <c r="T113" s="86"/>
      <c r="U113" s="86"/>
      <c r="V113" s="86"/>
      <c r="W113" s="65" t="s">
        <v>41</v>
      </c>
      <c r="X113" s="86"/>
      <c r="Y113" s="86"/>
      <c r="Z113" s="86"/>
    </row>
    <row r="114" spans="1:26">
      <c r="A114" s="9">
        <v>69</v>
      </c>
      <c r="B114" s="10" t="s">
        <v>474</v>
      </c>
      <c r="C114" s="58"/>
      <c r="D114" s="90">
        <v>46249</v>
      </c>
      <c r="E114" s="58"/>
      <c r="F114" s="10" t="s">
        <v>475</v>
      </c>
      <c r="G114" s="10" t="s">
        <v>32</v>
      </c>
      <c r="H114" s="9" t="s">
        <v>476</v>
      </c>
      <c r="I114" s="10" t="s">
        <v>477</v>
      </c>
      <c r="J114" s="10" t="s">
        <v>35</v>
      </c>
      <c r="K114" s="10" t="s">
        <v>478</v>
      </c>
      <c r="L114" s="10" t="s">
        <v>479</v>
      </c>
      <c r="M114" s="9">
        <v>2</v>
      </c>
      <c r="N114" s="10" t="s">
        <v>38</v>
      </c>
      <c r="O114" s="91">
        <v>27350</v>
      </c>
      <c r="P114" s="83">
        <v>1000</v>
      </c>
      <c r="Q114" s="84">
        <f t="shared" si="6"/>
        <v>28350</v>
      </c>
      <c r="R114" s="88"/>
      <c r="S114" s="88"/>
      <c r="T114" s="86"/>
      <c r="U114" s="86"/>
      <c r="V114" s="86"/>
      <c r="W114" s="65" t="s">
        <v>41</v>
      </c>
      <c r="X114" s="86"/>
      <c r="Y114" s="86"/>
      <c r="Z114" s="86"/>
    </row>
    <row r="115" spans="1:26">
      <c r="A115" s="24">
        <v>70</v>
      </c>
      <c r="B115" s="25" t="s">
        <v>480</v>
      </c>
      <c r="C115" s="25"/>
      <c r="D115" s="79">
        <v>46251</v>
      </c>
      <c r="E115" s="25"/>
      <c r="F115" s="25" t="s">
        <v>358</v>
      </c>
      <c r="G115" s="25" t="s">
        <v>54</v>
      </c>
      <c r="H115" s="24" t="s">
        <v>359</v>
      </c>
      <c r="I115" s="25" t="s">
        <v>360</v>
      </c>
      <c r="J115" s="25" t="s">
        <v>47</v>
      </c>
      <c r="K115" s="25" t="s">
        <v>58</v>
      </c>
      <c r="L115" s="25" t="s">
        <v>361</v>
      </c>
      <c r="M115" s="24">
        <v>1</v>
      </c>
      <c r="N115" s="25" t="s">
        <v>38</v>
      </c>
      <c r="O115" s="27">
        <v>19800</v>
      </c>
      <c r="P115" s="27">
        <v>1000</v>
      </c>
      <c r="Q115" s="28">
        <f t="shared" si="6"/>
        <v>20800</v>
      </c>
      <c r="R115" s="39"/>
      <c r="S115" s="39"/>
      <c r="T115" s="29"/>
      <c r="U115" s="29"/>
      <c r="V115" s="31"/>
      <c r="W115" s="65" t="s">
        <v>41</v>
      </c>
      <c r="X115" s="32">
        <v>0</v>
      </c>
      <c r="Y115" s="32">
        <v>19800</v>
      </c>
      <c r="Z115" s="33"/>
    </row>
    <row r="116" spans="1:26">
      <c r="A116" s="9">
        <v>71</v>
      </c>
      <c r="B116" s="10" t="s">
        <v>481</v>
      </c>
      <c r="C116" s="10"/>
      <c r="D116" s="90">
        <v>46252</v>
      </c>
      <c r="E116" s="10"/>
      <c r="F116" s="10" t="s">
        <v>321</v>
      </c>
      <c r="G116" s="10" t="s">
        <v>32</v>
      </c>
      <c r="H116" s="9" t="s">
        <v>409</v>
      </c>
      <c r="I116" s="10" t="s">
        <v>323</v>
      </c>
      <c r="J116" s="10" t="s">
        <v>35</v>
      </c>
      <c r="K116" s="10" t="s">
        <v>58</v>
      </c>
      <c r="L116" s="10" t="s">
        <v>482</v>
      </c>
      <c r="M116" s="9">
        <v>4</v>
      </c>
      <c r="N116" s="10" t="s">
        <v>38</v>
      </c>
      <c r="O116" s="12">
        <v>11575</v>
      </c>
      <c r="P116" s="12">
        <v>1000</v>
      </c>
      <c r="Q116" s="13">
        <f t="shared" si="6"/>
        <v>12575</v>
      </c>
      <c r="R116" s="88"/>
      <c r="S116" s="88"/>
      <c r="T116" s="86"/>
      <c r="U116" s="86"/>
      <c r="V116" s="86"/>
      <c r="W116" s="65" t="s">
        <v>41</v>
      </c>
      <c r="X116" s="12">
        <v>11575</v>
      </c>
      <c r="Y116" s="32">
        <v>0</v>
      </c>
      <c r="Z116" s="87"/>
    </row>
    <row r="117" spans="1:26">
      <c r="A117" s="24">
        <v>72</v>
      </c>
      <c r="B117" s="25" t="s">
        <v>483</v>
      </c>
      <c r="C117" s="25"/>
      <c r="D117" s="79">
        <v>46253</v>
      </c>
      <c r="E117" s="25"/>
      <c r="F117" s="25" t="s">
        <v>484</v>
      </c>
      <c r="G117" s="25" t="s">
        <v>32</v>
      </c>
      <c r="H117" s="24" t="s">
        <v>485</v>
      </c>
      <c r="I117" s="25" t="s">
        <v>486</v>
      </c>
      <c r="J117" s="25" t="s">
        <v>88</v>
      </c>
      <c r="K117" s="25" t="s">
        <v>260</v>
      </c>
      <c r="L117" s="25" t="s">
        <v>487</v>
      </c>
      <c r="M117" s="24">
        <v>1</v>
      </c>
      <c r="N117" s="25" t="s">
        <v>38</v>
      </c>
      <c r="O117" s="27">
        <v>9500</v>
      </c>
      <c r="P117" s="27">
        <v>1000</v>
      </c>
      <c r="Q117" s="28">
        <f t="shared" si="6"/>
        <v>10500</v>
      </c>
      <c r="R117" s="88"/>
      <c r="S117" s="88"/>
      <c r="T117" s="86"/>
      <c r="U117" s="86"/>
      <c r="V117" s="86"/>
      <c r="W117" s="65" t="s">
        <v>41</v>
      </c>
      <c r="X117" s="12">
        <v>9500</v>
      </c>
      <c r="Y117" s="32">
        <v>0</v>
      </c>
      <c r="Z117" s="87"/>
    </row>
    <row r="118" spans="1:26">
      <c r="A118" s="92">
        <v>73</v>
      </c>
      <c r="B118" s="10" t="s">
        <v>488</v>
      </c>
      <c r="C118" s="10"/>
      <c r="D118" s="90">
        <v>46253</v>
      </c>
      <c r="E118" s="10"/>
      <c r="F118" s="10" t="s">
        <v>484</v>
      </c>
      <c r="G118" s="10" t="s">
        <v>32</v>
      </c>
      <c r="H118" s="9" t="s">
        <v>485</v>
      </c>
      <c r="I118" s="10" t="s">
        <v>489</v>
      </c>
      <c r="J118" s="10" t="s">
        <v>35</v>
      </c>
      <c r="K118" s="86" t="s">
        <v>195</v>
      </c>
      <c r="L118" s="10" t="s">
        <v>490</v>
      </c>
      <c r="M118" s="9">
        <v>1</v>
      </c>
      <c r="N118" s="10" t="s">
        <v>38</v>
      </c>
      <c r="O118" s="12">
        <v>6200</v>
      </c>
      <c r="P118" s="12">
        <v>1500</v>
      </c>
      <c r="Q118" s="13">
        <f t="shared" si="6"/>
        <v>7700</v>
      </c>
      <c r="R118" s="1"/>
      <c r="S118" s="1"/>
      <c r="T118" s="1"/>
      <c r="U118" s="1"/>
      <c r="V118" s="1"/>
      <c r="W118" s="65" t="s">
        <v>41</v>
      </c>
      <c r="X118" s="12">
        <v>6200</v>
      </c>
      <c r="Y118" s="32">
        <v>0</v>
      </c>
      <c r="Z118" s="1"/>
    </row>
    <row r="119" spans="1:26">
      <c r="A119" s="24">
        <v>74</v>
      </c>
      <c r="B119" s="25" t="s">
        <v>491</v>
      </c>
      <c r="C119" s="25"/>
      <c r="D119" s="79">
        <v>46255</v>
      </c>
      <c r="E119" s="25"/>
      <c r="F119" s="25" t="s">
        <v>238</v>
      </c>
      <c r="G119" s="25" t="s">
        <v>32</v>
      </c>
      <c r="H119" s="93"/>
      <c r="I119" s="25" t="s">
        <v>240</v>
      </c>
      <c r="J119" s="25" t="s">
        <v>47</v>
      </c>
      <c r="K119" s="25" t="s">
        <v>58</v>
      </c>
      <c r="L119" s="25" t="s">
        <v>492</v>
      </c>
      <c r="M119" s="24">
        <v>1</v>
      </c>
      <c r="N119" s="25" t="s">
        <v>38</v>
      </c>
      <c r="O119" s="27">
        <v>6200</v>
      </c>
      <c r="P119" s="27">
        <v>1000</v>
      </c>
      <c r="Q119" s="28">
        <f t="shared" si="6"/>
        <v>7200</v>
      </c>
      <c r="R119" s="1"/>
      <c r="S119" s="1"/>
      <c r="T119" s="1"/>
      <c r="U119" s="1"/>
      <c r="V119" s="1"/>
      <c r="W119" s="65" t="s">
        <v>41</v>
      </c>
      <c r="X119" s="12">
        <v>6200</v>
      </c>
      <c r="Y119" s="32">
        <v>0</v>
      </c>
      <c r="Z119" s="1"/>
    </row>
    <row r="120" spans="1:26">
      <c r="A120" s="132">
        <v>75</v>
      </c>
      <c r="B120" s="105" t="s">
        <v>493</v>
      </c>
      <c r="C120" s="115"/>
      <c r="D120" s="116">
        <v>46255</v>
      </c>
      <c r="E120" s="105"/>
      <c r="F120" s="105" t="s">
        <v>243</v>
      </c>
      <c r="G120" s="105" t="s">
        <v>54</v>
      </c>
      <c r="H120" s="133" t="s">
        <v>412</v>
      </c>
      <c r="I120" s="105" t="s">
        <v>413</v>
      </c>
      <c r="J120" s="10" t="s">
        <v>47</v>
      </c>
      <c r="K120" s="10" t="s">
        <v>58</v>
      </c>
      <c r="L120" s="10" t="s">
        <v>494</v>
      </c>
      <c r="M120" s="9">
        <v>2</v>
      </c>
      <c r="N120" s="10" t="s">
        <v>38</v>
      </c>
      <c r="O120" s="12">
        <v>6200</v>
      </c>
      <c r="P120" s="12">
        <v>1000</v>
      </c>
      <c r="Q120" s="13">
        <f t="shared" si="6"/>
        <v>7200</v>
      </c>
      <c r="R120" s="1"/>
      <c r="S120" s="1"/>
      <c r="T120" s="1"/>
      <c r="U120" s="1"/>
      <c r="V120" s="1"/>
      <c r="W120" s="65" t="s">
        <v>41</v>
      </c>
      <c r="X120" s="12">
        <v>6200</v>
      </c>
      <c r="Y120" s="32">
        <v>0</v>
      </c>
      <c r="Z120" s="1"/>
    </row>
    <row r="121" spans="1:26">
      <c r="A121" s="108"/>
      <c r="B121" s="108"/>
      <c r="C121" s="108"/>
      <c r="D121" s="108"/>
      <c r="E121" s="108"/>
      <c r="F121" s="108"/>
      <c r="G121" s="108"/>
      <c r="H121" s="110"/>
      <c r="I121" s="108"/>
      <c r="J121" s="25" t="s">
        <v>47</v>
      </c>
      <c r="K121" s="25" t="s">
        <v>478</v>
      </c>
      <c r="L121" s="25" t="s">
        <v>495</v>
      </c>
      <c r="M121" s="24">
        <v>1</v>
      </c>
      <c r="N121" s="25" t="s">
        <v>38</v>
      </c>
      <c r="O121" s="27">
        <v>4475</v>
      </c>
      <c r="P121" s="27">
        <v>0</v>
      </c>
      <c r="Q121" s="28">
        <f t="shared" si="6"/>
        <v>4475</v>
      </c>
      <c r="R121" s="1"/>
      <c r="S121" s="1"/>
      <c r="T121" s="1"/>
      <c r="U121" s="1"/>
      <c r="V121" s="1"/>
      <c r="W121" s="65" t="s">
        <v>41</v>
      </c>
      <c r="X121" s="12">
        <v>4475</v>
      </c>
      <c r="Y121" s="32">
        <v>0</v>
      </c>
      <c r="Z121" s="1"/>
    </row>
    <row r="122" spans="1:26">
      <c r="A122" s="92">
        <v>76</v>
      </c>
      <c r="B122" s="10" t="s">
        <v>145</v>
      </c>
      <c r="C122" s="10"/>
      <c r="D122" s="90">
        <v>46260</v>
      </c>
      <c r="E122" s="86"/>
      <c r="F122" s="10" t="s">
        <v>496</v>
      </c>
      <c r="G122" s="10" t="s">
        <v>54</v>
      </c>
      <c r="H122" s="9" t="s">
        <v>497</v>
      </c>
      <c r="I122" s="86" t="s">
        <v>498</v>
      </c>
      <c r="J122" s="10" t="s">
        <v>35</v>
      </c>
      <c r="K122" s="86" t="s">
        <v>58</v>
      </c>
      <c r="L122" s="42" t="s">
        <v>499</v>
      </c>
      <c r="M122" s="9">
        <v>1</v>
      </c>
      <c r="N122" s="10" t="s">
        <v>38</v>
      </c>
      <c r="O122" s="12">
        <v>3100</v>
      </c>
      <c r="P122" s="12">
        <v>0</v>
      </c>
      <c r="Q122" s="13">
        <f t="shared" si="6"/>
        <v>3100</v>
      </c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24">
        <v>77</v>
      </c>
      <c r="B123" s="109" t="s">
        <v>500</v>
      </c>
      <c r="C123" s="126"/>
      <c r="D123" s="127">
        <v>46261</v>
      </c>
      <c r="E123" s="109"/>
      <c r="F123" s="109" t="s">
        <v>243</v>
      </c>
      <c r="G123" s="109" t="s">
        <v>54</v>
      </c>
      <c r="H123" s="128" t="s">
        <v>412</v>
      </c>
      <c r="I123" s="109" t="s">
        <v>413</v>
      </c>
      <c r="J123" s="25" t="s">
        <v>47</v>
      </c>
      <c r="K123" s="25" t="s">
        <v>58</v>
      </c>
      <c r="L123" s="40" t="s">
        <v>494</v>
      </c>
      <c r="M123" s="24">
        <v>2</v>
      </c>
      <c r="N123" s="25" t="s">
        <v>38</v>
      </c>
      <c r="O123" s="27">
        <v>6200</v>
      </c>
      <c r="P123" s="27">
        <v>1000</v>
      </c>
      <c r="Q123" s="28">
        <f t="shared" si="6"/>
        <v>7200</v>
      </c>
      <c r="R123" s="1"/>
      <c r="S123" s="1"/>
      <c r="T123" s="1"/>
      <c r="U123" s="1"/>
      <c r="V123" s="1"/>
      <c r="W123" s="65" t="s">
        <v>41</v>
      </c>
      <c r="X123" s="12"/>
      <c r="Y123" s="32">
        <v>6200</v>
      </c>
      <c r="Z123" s="1"/>
    </row>
    <row r="124" spans="1:26">
      <c r="A124" s="125"/>
      <c r="B124" s="125"/>
      <c r="C124" s="125"/>
      <c r="D124" s="125"/>
      <c r="E124" s="125"/>
      <c r="F124" s="125"/>
      <c r="G124" s="125"/>
      <c r="H124" s="110"/>
      <c r="I124" s="125"/>
      <c r="J124" s="10" t="s">
        <v>47</v>
      </c>
      <c r="K124" s="10" t="s">
        <v>260</v>
      </c>
      <c r="L124" s="10" t="s">
        <v>501</v>
      </c>
      <c r="M124" s="9">
        <v>1</v>
      </c>
      <c r="N124" s="10" t="s">
        <v>38</v>
      </c>
      <c r="O124" s="12">
        <v>2200</v>
      </c>
      <c r="P124" s="12">
        <v>0</v>
      </c>
      <c r="Q124" s="13">
        <f t="shared" si="6"/>
        <v>2200</v>
      </c>
      <c r="R124" s="82">
        <v>3850</v>
      </c>
      <c r="S124" s="82">
        <f>R124-Q124</f>
        <v>1650</v>
      </c>
      <c r="T124" s="1"/>
      <c r="U124" s="1"/>
      <c r="V124" s="1"/>
      <c r="W124" s="65" t="s">
        <v>41</v>
      </c>
      <c r="X124" s="12">
        <v>4475</v>
      </c>
      <c r="Y124" s="32">
        <v>3850</v>
      </c>
      <c r="Z124" s="1" t="s">
        <v>502</v>
      </c>
    </row>
    <row r="125" spans="1:26">
      <c r="A125" s="94">
        <v>78</v>
      </c>
      <c r="B125" s="25" t="s">
        <v>145</v>
      </c>
      <c r="C125" s="25"/>
      <c r="D125" s="79">
        <v>46264</v>
      </c>
      <c r="E125" s="93"/>
      <c r="F125" s="25" t="s">
        <v>243</v>
      </c>
      <c r="G125" s="25" t="s">
        <v>54</v>
      </c>
      <c r="H125" s="24" t="s">
        <v>412</v>
      </c>
      <c r="I125" s="93" t="s">
        <v>413</v>
      </c>
      <c r="J125" s="25" t="s">
        <v>47</v>
      </c>
      <c r="K125" s="93" t="s">
        <v>58</v>
      </c>
      <c r="L125" s="93" t="s">
        <v>503</v>
      </c>
      <c r="M125" s="93">
        <v>3</v>
      </c>
      <c r="N125" s="109" t="s">
        <v>38</v>
      </c>
      <c r="O125" s="27">
        <v>16100</v>
      </c>
      <c r="P125" s="27">
        <v>1000</v>
      </c>
      <c r="Q125" s="28">
        <f t="shared" si="6"/>
        <v>17100</v>
      </c>
      <c r="R125" s="1"/>
      <c r="S125" s="1"/>
      <c r="T125" s="1"/>
      <c r="U125" s="1"/>
      <c r="V125" s="1"/>
      <c r="W125" s="1"/>
      <c r="X125" s="1"/>
      <c r="Y125" s="32">
        <v>0</v>
      </c>
      <c r="Z125" s="1"/>
    </row>
    <row r="126" spans="1:26">
      <c r="A126" s="111">
        <v>79</v>
      </c>
      <c r="B126" s="105" t="s">
        <v>504</v>
      </c>
      <c r="C126" s="115"/>
      <c r="D126" s="116">
        <v>46265</v>
      </c>
      <c r="E126" s="117"/>
      <c r="F126" s="118" t="s">
        <v>505</v>
      </c>
      <c r="G126" s="105" t="s">
        <v>54</v>
      </c>
      <c r="H126" s="119" t="s">
        <v>506</v>
      </c>
      <c r="I126" s="123" t="s">
        <v>374</v>
      </c>
      <c r="J126" s="105" t="s">
        <v>235</v>
      </c>
      <c r="K126" s="10" t="s">
        <v>260</v>
      </c>
      <c r="L126" s="86" t="s">
        <v>507</v>
      </c>
      <c r="M126" s="86">
        <v>1</v>
      </c>
      <c r="N126" s="110"/>
      <c r="O126" s="12">
        <v>7200</v>
      </c>
      <c r="P126" s="12">
        <v>0</v>
      </c>
      <c r="Q126" s="13">
        <f t="shared" si="6"/>
        <v>7200</v>
      </c>
      <c r="R126" s="1"/>
      <c r="S126" s="1"/>
      <c r="T126" s="1"/>
      <c r="U126" s="1"/>
      <c r="V126" s="1"/>
      <c r="W126" s="1"/>
      <c r="X126" s="1"/>
      <c r="Y126" s="32">
        <v>0</v>
      </c>
      <c r="Z126" s="1"/>
    </row>
    <row r="127" spans="1:26">
      <c r="A127" s="112"/>
      <c r="B127" s="106"/>
      <c r="C127" s="106"/>
      <c r="D127" s="106"/>
      <c r="E127" s="110"/>
      <c r="F127" s="110"/>
      <c r="G127" s="106"/>
      <c r="H127" s="120"/>
      <c r="I127" s="120"/>
      <c r="J127" s="106"/>
      <c r="K127" s="93" t="s">
        <v>58</v>
      </c>
      <c r="L127" s="93" t="s">
        <v>508</v>
      </c>
      <c r="M127" s="93">
        <v>1</v>
      </c>
      <c r="N127" s="110"/>
      <c r="O127" s="27">
        <v>6150</v>
      </c>
      <c r="P127" s="27">
        <v>0</v>
      </c>
      <c r="Q127" s="28">
        <f t="shared" si="6"/>
        <v>6150</v>
      </c>
      <c r="R127" s="1"/>
      <c r="S127" s="1"/>
      <c r="T127" s="1"/>
      <c r="U127" s="1"/>
      <c r="V127" s="1"/>
      <c r="W127" s="1"/>
      <c r="X127" s="1"/>
      <c r="Y127" s="32">
        <v>0</v>
      </c>
      <c r="Z127" s="1"/>
    </row>
    <row r="128" spans="1:26">
      <c r="A128" s="113"/>
      <c r="B128" s="107"/>
      <c r="C128" s="107"/>
      <c r="D128" s="107"/>
      <c r="E128" s="110"/>
      <c r="F128" s="110"/>
      <c r="G128" s="107"/>
      <c r="H128" s="121"/>
      <c r="I128" s="121"/>
      <c r="J128" s="107"/>
      <c r="K128" s="86" t="s">
        <v>58</v>
      </c>
      <c r="L128" s="86" t="s">
        <v>509</v>
      </c>
      <c r="M128" s="86">
        <v>1</v>
      </c>
      <c r="N128" s="110"/>
      <c r="O128" s="12">
        <v>10650</v>
      </c>
      <c r="P128" s="12">
        <v>0</v>
      </c>
      <c r="Q128" s="13">
        <f t="shared" si="6"/>
        <v>10650</v>
      </c>
      <c r="R128" s="1"/>
      <c r="S128" s="1"/>
      <c r="T128" s="1"/>
      <c r="U128" s="1"/>
      <c r="V128" s="1"/>
      <c r="W128" s="1"/>
      <c r="X128" s="1"/>
      <c r="Y128" s="32">
        <v>0</v>
      </c>
      <c r="Z128" s="1"/>
    </row>
    <row r="129" spans="1:26">
      <c r="A129" s="112"/>
      <c r="B129" s="106"/>
      <c r="C129" s="106"/>
      <c r="D129" s="106"/>
      <c r="E129" s="110"/>
      <c r="F129" s="110"/>
      <c r="G129" s="106"/>
      <c r="H129" s="120"/>
      <c r="I129" s="120"/>
      <c r="J129" s="106"/>
      <c r="K129" s="93" t="s">
        <v>58</v>
      </c>
      <c r="L129" s="93" t="s">
        <v>510</v>
      </c>
      <c r="M129" s="93">
        <v>1</v>
      </c>
      <c r="N129" s="110"/>
      <c r="O129" s="27">
        <v>5000</v>
      </c>
      <c r="P129" s="27">
        <v>0</v>
      </c>
      <c r="Q129" s="28">
        <f t="shared" si="6"/>
        <v>5000</v>
      </c>
      <c r="R129" s="1"/>
      <c r="S129" s="1"/>
      <c r="T129" s="1"/>
      <c r="U129" s="1"/>
      <c r="V129" s="1"/>
      <c r="W129" s="1"/>
      <c r="X129" s="1"/>
      <c r="Y129" s="32">
        <v>0</v>
      </c>
      <c r="Z129" s="1"/>
    </row>
    <row r="130" spans="1:26">
      <c r="A130" s="113"/>
      <c r="B130" s="107"/>
      <c r="C130" s="107"/>
      <c r="D130" s="107"/>
      <c r="E130" s="110"/>
      <c r="F130" s="110"/>
      <c r="G130" s="107"/>
      <c r="H130" s="121"/>
      <c r="I130" s="121"/>
      <c r="J130" s="107"/>
      <c r="K130" s="86" t="s">
        <v>511</v>
      </c>
      <c r="L130" s="86" t="s">
        <v>512</v>
      </c>
      <c r="M130" s="86">
        <v>2</v>
      </c>
      <c r="N130" s="110"/>
      <c r="O130" s="12">
        <v>5100</v>
      </c>
      <c r="P130" s="12">
        <v>0</v>
      </c>
      <c r="Q130" s="13">
        <f t="shared" si="6"/>
        <v>5100</v>
      </c>
      <c r="R130" s="1"/>
      <c r="S130" s="1"/>
      <c r="T130" s="1"/>
      <c r="U130" s="1"/>
      <c r="V130" s="1"/>
      <c r="W130" s="1"/>
      <c r="X130" s="1"/>
      <c r="Y130" s="32">
        <v>0</v>
      </c>
      <c r="Z130" s="1"/>
    </row>
    <row r="131" spans="1:26" ht="15" thickBot="1">
      <c r="A131" s="114"/>
      <c r="B131" s="108"/>
      <c r="C131" s="106"/>
      <c r="D131" s="108"/>
      <c r="E131" s="110"/>
      <c r="F131" s="110"/>
      <c r="G131" s="108"/>
      <c r="H131" s="122"/>
      <c r="I131" s="122"/>
      <c r="J131" s="108"/>
      <c r="K131" s="93" t="s">
        <v>511</v>
      </c>
      <c r="L131" s="93" t="s">
        <v>513</v>
      </c>
      <c r="M131" s="93">
        <v>1</v>
      </c>
      <c r="N131" s="108"/>
      <c r="O131" s="27">
        <v>12550</v>
      </c>
      <c r="P131" s="27">
        <v>0</v>
      </c>
      <c r="Q131" s="28">
        <f t="shared" si="6"/>
        <v>12550</v>
      </c>
      <c r="R131" s="1"/>
      <c r="S131" s="1"/>
      <c r="T131" s="1"/>
      <c r="U131" s="1"/>
      <c r="V131" s="1"/>
      <c r="W131" s="1"/>
      <c r="X131" s="1"/>
      <c r="Y131" s="32">
        <v>0</v>
      </c>
      <c r="Z131" s="1"/>
    </row>
    <row r="132" spans="1:26">
      <c r="A132" s="92">
        <v>80</v>
      </c>
      <c r="B132" s="10" t="s">
        <v>514</v>
      </c>
      <c r="C132" s="95"/>
      <c r="D132" s="90">
        <v>46266</v>
      </c>
      <c r="E132" s="96"/>
      <c r="F132" s="96"/>
      <c r="G132" s="10" t="s">
        <v>54</v>
      </c>
      <c r="H132" s="9" t="s">
        <v>391</v>
      </c>
      <c r="I132" s="10" t="s">
        <v>392</v>
      </c>
      <c r="J132" s="10" t="s">
        <v>47</v>
      </c>
      <c r="K132" s="86" t="s">
        <v>58</v>
      </c>
      <c r="L132" s="86" t="s">
        <v>515</v>
      </c>
      <c r="M132" s="86">
        <v>1</v>
      </c>
      <c r="N132" s="86" t="s">
        <v>38</v>
      </c>
      <c r="O132" s="12">
        <v>4150</v>
      </c>
      <c r="P132" s="12">
        <v>1000</v>
      </c>
      <c r="Q132" s="13">
        <f t="shared" si="6"/>
        <v>5150</v>
      </c>
      <c r="R132" s="1"/>
      <c r="S132" s="1"/>
      <c r="T132" s="1"/>
      <c r="U132" s="1"/>
      <c r="V132" s="1"/>
      <c r="W132" s="1"/>
      <c r="X132" s="1"/>
      <c r="Y132" s="32">
        <v>0</v>
      </c>
      <c r="Z132" s="1"/>
    </row>
    <row r="133" spans="1:26" ht="15" thickBot="1">
      <c r="A133" s="94">
        <v>81</v>
      </c>
      <c r="B133" s="25" t="s">
        <v>516</v>
      </c>
      <c r="C133" s="97"/>
      <c r="D133" s="79">
        <v>46266</v>
      </c>
      <c r="E133" s="97"/>
      <c r="F133" s="97"/>
      <c r="G133" s="25" t="s">
        <v>54</v>
      </c>
      <c r="H133" s="98" t="s">
        <v>517</v>
      </c>
      <c r="I133" s="25" t="s">
        <v>518</v>
      </c>
      <c r="J133" s="25" t="s">
        <v>235</v>
      </c>
      <c r="K133" s="93" t="s">
        <v>58</v>
      </c>
      <c r="L133" s="93" t="s">
        <v>519</v>
      </c>
      <c r="M133" s="93">
        <v>1</v>
      </c>
      <c r="N133" s="93" t="s">
        <v>38</v>
      </c>
      <c r="O133" s="27">
        <v>18200</v>
      </c>
      <c r="P133" s="27">
        <v>1000</v>
      </c>
      <c r="Q133" s="28">
        <f t="shared" si="6"/>
        <v>19200</v>
      </c>
      <c r="R133" s="1"/>
      <c r="S133" s="1"/>
      <c r="T133" s="1"/>
      <c r="U133" s="1"/>
      <c r="V133" s="1"/>
      <c r="W133" s="1"/>
      <c r="X133" s="1"/>
      <c r="Y133" s="32">
        <v>18200</v>
      </c>
      <c r="Z133" s="1"/>
    </row>
    <row r="134" spans="1:26">
      <c r="A134" s="92">
        <v>81</v>
      </c>
      <c r="B134" s="10" t="s">
        <v>520</v>
      </c>
      <c r="C134" s="95"/>
      <c r="D134" s="90">
        <v>46268</v>
      </c>
      <c r="E134" s="96"/>
      <c r="F134" s="96"/>
      <c r="G134" s="10" t="s">
        <v>32</v>
      </c>
      <c r="H134" s="9" t="s">
        <v>391</v>
      </c>
      <c r="I134" s="10" t="s">
        <v>521</v>
      </c>
      <c r="J134" s="10" t="s">
        <v>47</v>
      </c>
      <c r="K134" s="86" t="s">
        <v>58</v>
      </c>
      <c r="L134" s="86" t="s">
        <v>522</v>
      </c>
      <c r="M134" s="86">
        <v>1</v>
      </c>
      <c r="N134" s="86" t="s">
        <v>38</v>
      </c>
      <c r="O134" s="12">
        <v>20100</v>
      </c>
      <c r="P134" s="12">
        <v>1000</v>
      </c>
      <c r="Q134" s="13">
        <f t="shared" si="6"/>
        <v>21100</v>
      </c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>
      <c r="A135" s="94">
        <v>82</v>
      </c>
      <c r="B135" s="25" t="s">
        <v>523</v>
      </c>
      <c r="C135" s="97"/>
      <c r="D135" s="79">
        <v>46268</v>
      </c>
      <c r="E135" s="97"/>
      <c r="F135" s="97"/>
      <c r="G135" s="25" t="s">
        <v>32</v>
      </c>
      <c r="H135" s="98" t="s">
        <v>517</v>
      </c>
      <c r="I135" s="25" t="s">
        <v>524</v>
      </c>
      <c r="J135" s="25" t="s">
        <v>35</v>
      </c>
      <c r="K135" s="93" t="s">
        <v>260</v>
      </c>
      <c r="L135" s="93" t="s">
        <v>525</v>
      </c>
      <c r="M135" s="93">
        <v>1</v>
      </c>
      <c r="N135" s="93" t="s">
        <v>38</v>
      </c>
      <c r="O135" s="27">
        <v>13500</v>
      </c>
      <c r="P135" s="27">
        <v>1000</v>
      </c>
      <c r="Q135" s="28">
        <f t="shared" si="6"/>
        <v>14500</v>
      </c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>
      <c r="A136" s="99"/>
      <c r="B136" s="100"/>
      <c r="C136" s="96"/>
      <c r="D136" s="96"/>
      <c r="E136" s="96"/>
      <c r="F136" s="96"/>
      <c r="G136" s="96"/>
      <c r="H136" s="99"/>
      <c r="I136" s="101"/>
      <c r="J136" s="100"/>
      <c r="K136" s="86"/>
      <c r="L136" s="86"/>
      <c r="M136" s="86"/>
      <c r="N136" s="86"/>
      <c r="O136" s="86"/>
      <c r="P136" s="86"/>
      <c r="Q136" s="86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>
      <c r="A137" s="102"/>
      <c r="B137" s="103"/>
      <c r="C137" s="97"/>
      <c r="D137" s="97"/>
      <c r="E137" s="97"/>
      <c r="F137" s="97"/>
      <c r="G137" s="97"/>
      <c r="H137" s="102"/>
      <c r="I137" s="104"/>
      <c r="J137" s="103"/>
      <c r="K137" s="93"/>
      <c r="L137" s="93"/>
      <c r="M137" s="93"/>
      <c r="N137" s="93"/>
      <c r="O137" s="93"/>
      <c r="P137" s="93"/>
      <c r="Q137" s="93"/>
      <c r="R137" s="1"/>
      <c r="S137" s="1"/>
      <c r="T137" s="1"/>
      <c r="U137" s="1"/>
      <c r="V137" s="1"/>
      <c r="W137" s="1"/>
      <c r="X137" s="1"/>
      <c r="Y137" s="1"/>
      <c r="Z137" s="1"/>
    </row>
  </sheetData>
  <mergeCells count="79">
    <mergeCell ref="P47:P49"/>
    <mergeCell ref="A1:Y2"/>
    <mergeCell ref="A37:Z37"/>
    <mergeCell ref="A47:A49"/>
    <mergeCell ref="B47:B49"/>
    <mergeCell ref="C47:C49"/>
    <mergeCell ref="D47:D49"/>
    <mergeCell ref="E47:E49"/>
    <mergeCell ref="F47:F49"/>
    <mergeCell ref="G47:G49"/>
    <mergeCell ref="H47:H49"/>
    <mergeCell ref="I47:I49"/>
    <mergeCell ref="J47:J49"/>
    <mergeCell ref="M47:M49"/>
    <mergeCell ref="N47:N49"/>
    <mergeCell ref="O47:O49"/>
    <mergeCell ref="W47:W49"/>
    <mergeCell ref="X47:X49"/>
    <mergeCell ref="Y47:Y49"/>
    <mergeCell ref="Z47:Z49"/>
    <mergeCell ref="A69:A70"/>
    <mergeCell ref="B69:B70"/>
    <mergeCell ref="C69:C70"/>
    <mergeCell ref="D69:D70"/>
    <mergeCell ref="E69:E70"/>
    <mergeCell ref="F69:F70"/>
    <mergeCell ref="Q47:Q49"/>
    <mergeCell ref="R47:R49"/>
    <mergeCell ref="S47:S49"/>
    <mergeCell ref="T47:T49"/>
    <mergeCell ref="U47:U49"/>
    <mergeCell ref="V47:V49"/>
    <mergeCell ref="A75:A76"/>
    <mergeCell ref="B75:B76"/>
    <mergeCell ref="C75:C76"/>
    <mergeCell ref="D75:D76"/>
    <mergeCell ref="F75:F76"/>
    <mergeCell ref="G69:G70"/>
    <mergeCell ref="H69:H70"/>
    <mergeCell ref="I69:I70"/>
    <mergeCell ref="N69:N70"/>
    <mergeCell ref="O69:O70"/>
    <mergeCell ref="P75:P76"/>
    <mergeCell ref="W75:W76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G75:G76"/>
    <mergeCell ref="H75:H76"/>
    <mergeCell ref="I75:I76"/>
    <mergeCell ref="J75:J76"/>
    <mergeCell ref="N75:N76"/>
    <mergeCell ref="O75:O76"/>
    <mergeCell ref="I120:I121"/>
    <mergeCell ref="A123:A124"/>
    <mergeCell ref="B123:B124"/>
    <mergeCell ref="C123:C124"/>
    <mergeCell ref="D123:D124"/>
    <mergeCell ref="E123:E124"/>
    <mergeCell ref="F123:F124"/>
    <mergeCell ref="G123:G124"/>
    <mergeCell ref="H123:H124"/>
    <mergeCell ref="I123:I124"/>
    <mergeCell ref="J126:J131"/>
    <mergeCell ref="N125:N131"/>
    <mergeCell ref="A126:A131"/>
    <mergeCell ref="B126:B131"/>
    <mergeCell ref="C126:C131"/>
    <mergeCell ref="D126:D131"/>
    <mergeCell ref="E126:E131"/>
    <mergeCell ref="F126:F131"/>
    <mergeCell ref="G126:G131"/>
    <mergeCell ref="H126:H131"/>
    <mergeCell ref="I126:I131"/>
  </mergeCells>
  <dataValidations count="3">
    <dataValidation type="list" allowBlank="1" showErrorMessage="1" sqref="G6:G35 G39:G47 G50:G69 G71:G75 G77:G120 G122:G123 G125:G126 G132:G135" xr:uid="{1DEB1C26-99B6-4A60-B423-A39A862FFC7A}">
      <formula1>"F,M"</formula1>
    </dataValidation>
    <dataValidation type="list" allowBlank="1" showErrorMessage="1" sqref="J39:J47 J50:J75 J77:J126 J132:J135" xr:uid="{6B747C3E-EAB3-469E-8234-C65B34710CCA}">
      <formula1>"Bacongo,Djiri,Makélékélé,Mfilou,Moungali,Ouenzé,Poto-Poto,Talangai"</formula1>
    </dataValidation>
    <dataValidation type="list" allowBlank="1" showDropDown="1" showErrorMessage="1" sqref="F39:F47 F50:F69 F71:F75 F77:F120 F122:F123 F125" xr:uid="{36E0C7D9-A8B1-466C-8127-988ED543604E}">
      <formula1>"Madame …,Madame Belvanie,Madame Bevana,Madame Bondo,Madame Christine,Madame ELEBE,Madame Fanny,Madame Jamila,Madame Liptia,Madame Makaya,Madame Rhode,Madame Sephora,Madame Vero,Madame Vertueuse,Mme Michelle,Marc / Madame Antoinette,Mme Brel,Mme Marie,Mr A"&amp;"boubacar,Mr Beldie,Mr Bouka,Mr Christ,Mr Emmanuel,Mr Garo,Mr Jean-Pierre,Mr Jerry,Mr Landry,Mr Marc,Mr Melchi / Marc,Mr Patadi,Mr Renel,Mr Renel/ Mme Arcie,Mr Renel/ Mme Célina,Mr Roy,Mr Xavier,Mr Yannick,Mr Abdoul,Mr Dave,Mr Henri,Mme Asta,Mr Jérémie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SMETH KANA</dc:creator>
  <cp:lastModifiedBy>EMMANUEL SMETH KANA</cp:lastModifiedBy>
  <dcterms:created xsi:type="dcterms:W3CDTF">2026-09-09T16:05:19Z</dcterms:created>
  <dcterms:modified xsi:type="dcterms:W3CDTF">2026-09-09T22:31:39Z</dcterms:modified>
</cp:coreProperties>
</file>